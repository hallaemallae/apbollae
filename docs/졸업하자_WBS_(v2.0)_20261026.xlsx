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hdl48\OneDrive\바탕 화면\26 -2\apbollae\졸업하자_산출물_최신화_261026\"/>
    </mc:Choice>
  </mc:AlternateContent>
  <xr:revisionPtr revIDLastSave="0" documentId="13_ncr:1_{7D28F998-5B09-44DD-8267-E5D566231DD6}" xr6:coauthVersionLast="47" xr6:coauthVersionMax="47" xr10:uidLastSave="{00000000-0000-0000-0000-000000000000}"/>
  <bookViews>
    <workbookView xWindow="-108" yWindow="-108" windowWidth="23256" windowHeight="12456" xr2:uid="{00000000-000D-0000-FFFF-FFFF00000000}"/>
  </bookViews>
  <sheets>
    <sheet name="갠트 차트 템플릿" sheetId="1" r:id="rId1"/>
  </sheets>
  <calcPr calcId="181029"/>
</workbook>
</file>

<file path=xl/calcChain.xml><?xml version="1.0" encoding="utf-8"?>
<calcChain xmlns="http://schemas.openxmlformats.org/spreadsheetml/2006/main">
  <c r="D78" i="1" l="1"/>
  <c r="H78" i="1" s="1"/>
  <c r="D77" i="1"/>
  <c r="G74" i="1"/>
  <c r="G73" i="1"/>
  <c r="G72" i="1"/>
  <c r="G71" i="1"/>
  <c r="G70" i="1"/>
  <c r="G69" i="1"/>
  <c r="H68" i="1"/>
  <c r="F68" i="1"/>
  <c r="E68" i="1"/>
  <c r="G67" i="1"/>
  <c r="G66" i="1"/>
  <c r="G65" i="1"/>
  <c r="G64" i="1"/>
  <c r="G63" i="1"/>
  <c r="G62" i="1"/>
  <c r="H61" i="1"/>
  <c r="F61" i="1"/>
  <c r="G61" i="1" s="1"/>
  <c r="E61" i="1"/>
  <c r="G60" i="1"/>
  <c r="G59" i="1"/>
  <c r="G58" i="1"/>
  <c r="G57" i="1"/>
  <c r="H56" i="1"/>
  <c r="F56" i="1"/>
  <c r="E56" i="1"/>
  <c r="G56" i="1" s="1"/>
  <c r="G55" i="1"/>
  <c r="G54" i="1"/>
  <c r="G53" i="1"/>
  <c r="G52" i="1"/>
  <c r="G51" i="1"/>
  <c r="G50" i="1"/>
  <c r="H49" i="1"/>
  <c r="F49" i="1"/>
  <c r="E49" i="1"/>
  <c r="G48" i="1"/>
  <c r="G47" i="1"/>
  <c r="G46" i="1"/>
  <c r="G45" i="1"/>
  <c r="G44" i="1"/>
  <c r="G43" i="1"/>
  <c r="G42" i="1"/>
  <c r="G41" i="1"/>
  <c r="G40" i="1"/>
  <c r="G39" i="1"/>
  <c r="G38" i="1"/>
  <c r="G37" i="1"/>
  <c r="G36" i="1"/>
  <c r="G35" i="1"/>
  <c r="G34" i="1"/>
  <c r="H33" i="1"/>
  <c r="F33" i="1"/>
  <c r="E33" i="1"/>
  <c r="G33" i="1" s="1"/>
  <c r="G32" i="1"/>
  <c r="G31" i="1"/>
  <c r="G30" i="1"/>
  <c r="G29" i="1"/>
  <c r="G28" i="1"/>
  <c r="G27" i="1"/>
  <c r="G26" i="1"/>
  <c r="G25" i="1"/>
  <c r="G24" i="1"/>
  <c r="G23" i="1"/>
  <c r="H22" i="1"/>
  <c r="F22" i="1"/>
  <c r="E22" i="1"/>
  <c r="G21" i="1"/>
  <c r="G20" i="1"/>
  <c r="G19" i="1"/>
  <c r="G18" i="1"/>
  <c r="G17" i="1"/>
  <c r="G16" i="1"/>
  <c r="G15" i="1"/>
  <c r="G14" i="1"/>
  <c r="G13" i="1"/>
  <c r="G12" i="1"/>
  <c r="H11" i="1"/>
  <c r="F11" i="1"/>
  <c r="E11" i="1"/>
  <c r="G11" i="1" s="1"/>
  <c r="G10" i="1"/>
  <c r="G9" i="1"/>
  <c r="G8" i="1"/>
  <c r="G7" i="1"/>
  <c r="G6" i="1"/>
  <c r="H5" i="1"/>
  <c r="F5" i="1"/>
  <c r="E5" i="1"/>
  <c r="G5" i="1" s="1"/>
  <c r="E77" i="1" l="1"/>
  <c r="H77" i="1" s="1"/>
  <c r="G77" i="1"/>
  <c r="F77" i="1"/>
  <c r="G49" i="1"/>
  <c r="G22" i="1"/>
  <c r="G68" i="1"/>
</calcChain>
</file>

<file path=xl/sharedStrings.xml><?xml version="1.0" encoding="utf-8"?>
<sst xmlns="http://schemas.openxmlformats.org/spreadsheetml/2006/main" count="508" uniqueCount="424">
  <si>
    <t>WBS</t>
  </si>
  <si>
    <t>v2.0 (2026-10-26) 8주차 중간발표 기준 최신화</t>
  </si>
  <si>
    <t>프로젝트 이름</t>
  </si>
  <si>
    <t>앞볼래 (Apbollae) — 차가 막힐 때, 조수석에서 보는 내 앞 도로 CCTV</t>
  </si>
  <si>
    <t>조명</t>
  </si>
  <si>
    <t>졸업하자</t>
  </si>
  <si>
    <t>프로젝트 관리자</t>
  </si>
  <si>
    <t>한주성</t>
  </si>
  <si>
    <t>날짜</t>
  </si>
  <si>
    <t>NO</t>
  </si>
  <si>
    <t>작업 제목</t>
  </si>
  <si>
    <t>작업자</t>
  </si>
  <si>
    <t>시작일</t>
  </si>
  <si>
    <t>종료일</t>
  </si>
  <si>
    <t>기간</t>
  </si>
  <si>
    <t>완료
비율</t>
  </si>
  <si>
    <t>완료조건</t>
  </si>
  <si>
    <t>산출물</t>
  </si>
  <si>
    <t>Epic(요구기능)</t>
  </si>
  <si>
    <t>기타</t>
  </si>
  <si>
    <t>1.0</t>
  </si>
  <si>
    <t>Inception(착수)</t>
  </si>
  <si>
    <t>주제·범위를 합의하고 프로젝트 헌장으로 착수 승인을 받음</t>
  </si>
  <si>
    <t>프로젝트 헌장 / ITS API 인증키</t>
  </si>
  <si>
    <t>전체</t>
  </si>
  <si>
    <t>3W. 한주성=기획·개발·서버·데이터, 남준혁=기획(경쟁사 분석)</t>
  </si>
  <si>
    <t>1.1</t>
  </si>
  <si>
    <t>팀 구성·역할 분담·협업 규칙 합의</t>
  </si>
  <si>
    <t>역할·회의 주기·의사결정 방식 합의</t>
  </si>
  <si>
    <t>팀 R&amp;R</t>
  </si>
  <si>
    <t>한주성 기획·개발·서버·데이터, 남준혁 기획(경쟁사 분석)</t>
  </si>
  <si>
    <t>1.2</t>
  </si>
  <si>
    <t>주제 확정·기존 앱(티맵) CCTV 사용 흐름 분석</t>
  </si>
  <si>
    <t>기존 앱은 빨간 막힘 표시만 있고 막힌 이유는 모른다는 불편을 사례로 정리</t>
  </si>
  <si>
    <t>문제 정의 근거</t>
  </si>
  <si>
    <t>헌장 «배경 및 문제 정의»의 근거</t>
  </si>
  <si>
    <t>1.3</t>
  </si>
  <si>
    <t>ITS Open API 인증키 발급·데이터 확인</t>
  </si>
  <si>
    <t>한주성(인증키 발급·데이터 검토)</t>
  </si>
  <si>
    <t>CCTV 목록·영상 URL·돌발상황 응답 필드 확인</t>
  </si>
  <si>
    <t>ITS API 인증키</t>
  </si>
  <si>
    <t>FR-07, FR-12</t>
  </si>
  <si>
    <t>CCTV에 촬영 방향 정보가 없음을 확인 → 최대 기술 위험</t>
  </si>
  <si>
    <t>1.4</t>
  </si>
  <si>
    <t>프로젝트 범위 합의(In/Out-of-Scope)</t>
  </si>
  <si>
    <t>한주성(PM)</t>
  </si>
  <si>
    <t>In-Scope·Out-of-Scope 합의</t>
  </si>
  <si>
    <t>프로젝트 헌장</t>
  </si>
  <si>
    <t>턴바이턴 길안내·정체 해소 예측은 범위 제외</t>
  </si>
  <si>
    <t>1.5</t>
  </si>
  <si>
    <t>프로젝트 헌장 초안 작성</t>
  </si>
  <si>
    <t>목적·목표·범위·R&amp;R·Risk·성공 기준 문서화</t>
  </si>
  <si>
    <t>2.0</t>
  </si>
  <si>
    <t>요구정의 및 설계</t>
  </si>
  <si>
    <t>한주성(기획·설계)
남준혁(경쟁사 분석)</t>
  </si>
  <si>
    <t>요구사항·화면·시스템 구성을 확정하고 OSS를 선정</t>
  </si>
  <si>
    <t>헌장 / PRD / WBS / 스토리보드 / TRD / 프로그램 목록</t>
  </si>
  <si>
    <t>4~6W. 프로그램 목록(산출물 80개)이 진척 집계 기준</t>
  </si>
  <si>
    <t>2.1</t>
  </si>
  <si>
    <t>기능·비기능 요구사항 정의(FR-01~25, NFR-01~10)</t>
  </si>
  <si>
    <t>한주성(요구 분석)</t>
  </si>
  <si>
    <t>요구사항별 ID·중요도·담당·진행 상태 확정</t>
  </si>
  <si>
    <t>요구사항 정의서(기능정의)</t>
  </si>
  <si>
    <t>FR-01~FR-25, NFR-01~NFR-10</t>
  </si>
  <si>
    <t>이후 모든 개발 작업의 기준</t>
  </si>
  <si>
    <t>2.2</t>
  </si>
  <si>
    <t>사용자 시나리오·페르소나·예외 흐름(E1~E6) 작성</t>
  </si>
  <si>
    <t>한주성(기획)</t>
  </si>
  <si>
    <t>Main User Flow 9단계와 예외 6건 정의</t>
  </si>
  <si>
    <t>사용자 시나리오</t>
  </si>
  <si>
    <t>사용자: 조수석 동승자</t>
  </si>
  <si>
    <t>2.3</t>
  </si>
  <si>
    <t>OSS 후보 비교·License 확인</t>
  </si>
  <si>
    <t>한주성(조사·선정)</t>
  </si>
  <si>
    <t>hls.js·Turf.js·pyshp·pyproj·Open-Meteo·MediaPipe 선정 사유·License 기록</t>
  </si>
  <si>
    <t>OSS 활용 계획</t>
  </si>
  <si>
    <t>FR-04, FR-05, FR-09</t>
  </si>
  <si>
    <t>무료 라이선스·많이 쓰여 검증됨·휴대폰 안에서 동작·직접 돌려 확인</t>
  </si>
  <si>
    <t>2.4</t>
  </si>
  <si>
    <t>화면 설계(스토리보드·UI 설계서)</t>
  </si>
  <si>
    <t>한주성(화면 흐름 설계)</t>
  </si>
  <si>
    <t>동승자 확인→내 앞 CCTV 재생→목적지 경로→기록 탭 흐름 정리</t>
  </si>
  <si>
    <t>StoryBoard(UI설계서) v1.0</t>
  </si>
  <si>
    <t>카드+그림자, 큰 터치 영역</t>
  </si>
  <si>
    <t>2.5</t>
  </si>
  <si>
    <t>시스템 구성도·기술 요구사항(TRD) 작성</t>
  </si>
  <si>
    <t>한주성(설계)</t>
  </si>
  <si>
    <t>휴대폰 앱↔우리 서버↔ITS·UTIC·카카오 경계와 캐시 위치 확정</t>
  </si>
  <si>
    <t>시스템 구성도 / TRD v1.0</t>
  </si>
  <si>
    <t>FR-12</t>
  </si>
  <si>
    <t>2.6</t>
  </si>
  <si>
    <t>프로젝트 헌장 수정·v1.0 확정</t>
  </si>
  <si>
    <t>OSS 활용 계획·Contribution·성공 기준 KPI 보완</t>
  </si>
  <si>
    <t>프로젝트 헌장 v1.0</t>
  </si>
  <si>
    <t>v1.0 (2026-09-28)</t>
  </si>
  <si>
    <t>2.7</t>
  </si>
  <si>
    <t>PRD 작성</t>
  </si>
  <si>
    <t>Problem→Target→MVP→Flow→Tech→Validation 1Page 요약까지 작성</t>
  </si>
  <si>
    <t>PRD v1.0</t>
  </si>
  <si>
    <t>2.8</t>
  </si>
  <si>
    <t>WBS·마일스톤 작성</t>
  </si>
  <si>
    <t>한주성(PM·일정 취합)</t>
  </si>
  <si>
    <t>요구사항과 일정·담당자를 연결</t>
  </si>
  <si>
    <t>WBS v1.0</t>
  </si>
  <si>
    <t>본 문서(v2.0에서 최신화)</t>
  </si>
  <si>
    <t>2.9</t>
  </si>
  <si>
    <t>프로그램 목록 작성(기능·화면·프로그램·IF·테이블)</t>
  </si>
  <si>
    <t>산출물 80개 항목별 담당·종료일·진행 상태 기록</t>
  </si>
  <si>
    <t>프로그램 목록 v1.1</t>
  </si>
  <si>
    <t>중간발표 진척(완료 48·진행 27·계획 5)의 근거</t>
  </si>
  <si>
    <t>2.10</t>
  </si>
  <si>
    <t>경쟁사 분석·선행 특허(KR102430774) 검토</t>
  </si>
  <si>
    <t>남준혁(경쟁사 분석)
한주성(특허 검토)</t>
  </si>
  <si>
    <t>경쟁 앱·비슷한 특허와 차이 정리, 범위 조정</t>
  </si>
  <si>
    <t>경쟁사 분석 자료</t>
  </si>
  <si>
    <t>특허 핵심 기능은 넣지 않음(반영)</t>
  </si>
  <si>
    <t>3.0</t>
  </si>
  <si>
    <t>Sprint-#1 데이터 연동·서버(ITS·UTIC·카카오)</t>
  </si>
  <si>
    <t>한주성(서버·데이터)</t>
  </si>
  <si>
    <t>우리 서버를 통해 CCTV 목록·영상·돌발·길찾기를 앱에서 받아 볼 수 있음</t>
  </si>
  <si>
    <t>API 프록시 서버 / API 명세 / 선별 알고리즘 설계</t>
  </si>
  <si>
    <t>FR-07, FR-09, FR-12, FR-13</t>
  </si>
  <si>
    <t>5~7W. 원래 5~6W 계획</t>
  </si>
  <si>
    <t>3.1</t>
  </si>
  <si>
    <t>GitHub 저장소·개발환경 구성(웹앱 + RN 셸)</t>
  </si>
  <si>
    <t>한주성(형상관리)</t>
  </si>
  <si>
    <t>README·브랜치 규칙으로 저장소 초기화, 로컬 실행 확인</t>
  </si>
  <si>
    <t>GitHub 저장소</t>
  </si>
  <si>
    <t>커밋 15개(중간발표 시점)</t>
  </si>
  <si>
    <t>3.2</t>
  </si>
  <si>
    <t>ITS CCTV 목록·영상 URL API 연동</t>
  </si>
  <si>
    <t>좌표 범위로 CCTV 목록 조회, 실제 CCTV 영상 재생 확인</t>
  </si>
  <si>
    <t>API 프록시 서버</t>
  </si>
  <si>
    <t>FR-05, FR-12</t>
  </si>
  <si>
    <t>전국 고속도로·국도 CCTV</t>
  </si>
  <si>
    <t>3.3</t>
  </si>
  <si>
    <t>ITS 돌발상황 API 연동</t>
  </si>
  <si>
    <t>사고·공사·통제 유형·위치·차로 통제 정보 파싱</t>
  </si>
  <si>
    <t>FR-07</t>
  </si>
  <si>
    <t>3.4</t>
  </si>
  <si>
    <t>프록시(API 키 숨김)·데이터 저장·재사용·월 한도 보호</t>
  </si>
  <si>
    <t>한주성(서버)</t>
  </si>
  <si>
    <t>앱에 API 키 없음 확인, 캐시 적중 시 ITS 호출 없음</t>
  </si>
  <si>
    <t>ITS가 구글 클라우드 IP 차단 확인 → 지금은 개인 PC에서 실행</t>
  </si>
  <si>
    <t>3.5</t>
  </si>
  <si>
    <t>API 명세서 작성(IF및API)</t>
  </si>
  <si>
    <t>한주성(API 명세)</t>
  </si>
  <si>
    <t>CCTV 목록·돌발·길찾기 엔드포인트 요청/응답 정리</t>
  </si>
  <si>
    <t>프로그램 목록 «IF및API»</t>
  </si>
  <si>
    <t>3.6</t>
  </si>
  <si>
    <t>전방 CCTV 선별 알고리즘 설계</t>
  </si>
  <si>
    <t>한주성(위치·알고리즘)</t>
  </si>
  <si>
    <t>부채꼴(±30°, 5km)·반대 차로 제외·도로 앞 6km·경로 위 CCTV 절차 정의</t>
  </si>
  <si>
    <t>TRD(선별 알고리즘)</t>
  </si>
  <si>
    <t>FR-04, FR-09</t>
  </si>
  <si>
    <t>성공 기준(선별 정확도 90%)의 근거</t>
  </si>
  <si>
    <t>3.7</t>
  </si>
  <si>
    <t>로그인(선택)·Firebase Auth·Firestore 연동</t>
  </si>
  <si>
    <t>이메일 로그인·게스트 시작, 사용자 문서 저장</t>
  </si>
  <si>
    <t>앱 / Firestore 규칙</t>
  </si>
  <si>
    <t>FR-13</t>
  </si>
  <si>
    <t>로그인·DB는 Firebase 유지</t>
  </si>
  <si>
    <t>3.8</t>
  </si>
  <si>
    <t>카카오 지도·장소 검색·길찾기(카카오모빌리티) 연동</t>
  </si>
  <si>
    <t>한주성(서버·앱)</t>
  </si>
  <si>
    <t>목적지 검색과 자동차 경로·소통정보 수신</t>
  </si>
  <si>
    <t>FR-10, FR-11</t>
  </si>
  <si>
    <t>3.9</t>
  </si>
  <si>
    <t>국토부 표준노드링크 맵매칭(달리는 도로 앞 6km)</t>
  </si>
  <si>
    <t>한주성(데이터·알고리즘)</t>
  </si>
  <si>
    <t>GPS를 도로 링크에 맞추고 그 도로 앞 6km 위 CCTV만 선별</t>
  </si>
  <si>
    <t>선별 모듈</t>
  </si>
  <si>
    <t>FR-09</t>
  </si>
  <si>
    <t>pyshp·pyproj. 실주행 보정 남음(7.3)</t>
  </si>
  <si>
    <t>3.10</t>
  </si>
  <si>
    <t>UTIC 경찰청 도시 CCTV 연동(서울)</t>
  </si>
  <si>
    <t>서울 도시 CCTV 목록 캐시, 재생할 때 한 대씩 영상 주소 조회</t>
  </si>
  <si>
    <t>FR-19</t>
  </si>
  <si>
    <t>4.0</t>
  </si>
  <si>
    <t>Sprint-#2 앱 핵심 기능 + 중간발표</t>
  </si>
  <si>
    <t>실제 도로 CCTV로 '내 앞' CCTV가 자동 재생되는 것을 시연하고 중간발표</t>
  </si>
  <si>
    <t>앱(웹앱+RN 셸) / 중간발표 자료</t>
  </si>
  <si>
    <t>FR-01~FR-21</t>
  </si>
  <si>
    <t>6~8W. 중간발표 Gate. 원래 9~11W 예정이던 영상 재생·돌발 표시·동승자 확인 조기 완료</t>
  </si>
  <si>
    <t>4.1</t>
  </si>
  <si>
    <t>위치·진행 방향·속도 1초 주기 수신</t>
  </si>
  <si>
    <t>한주성(앱)</t>
  </si>
  <si>
    <t>위치 권한 요청과 좌표·방향·속도 1초 수신 확인</t>
  </si>
  <si>
    <t>앱 위치 모듈</t>
  </si>
  <si>
    <t>FR-02, FR-03</t>
  </si>
  <si>
    <t>권한 거부 시 설정 이동(E2)</t>
  </si>
  <si>
    <t>4.2</t>
  </si>
  <si>
    <t>전방 부채꼴 선별(±30°, 최대 5km)·반대 차로 제외</t>
  </si>
  <si>
    <t>한주성(알고리즘)</t>
  </si>
  <si>
    <t>목적지 없을 때 진행 방향 앞 CCTV만 가까운 순 정렬</t>
  </si>
  <si>
    <t>FR-04</t>
  </si>
  <si>
    <t>Turf.js. 실주행 보정 남음(7.3)</t>
  </si>
  <si>
    <t>4.3</t>
  </si>
  <si>
    <t>저속·정차·터널 방향 보정</t>
  </si>
  <si>
    <t>저속 시 최근 궤적으로 방향 계산, 신호 끊기면 마지막 유효 방향 유지</t>
  </si>
  <si>
    <t>FR-02</t>
  </si>
  <si>
    <t>예외 E3</t>
  </si>
  <si>
    <t>4.4</t>
  </si>
  <si>
    <t>가까운 순 카드 목록·1순위 영상 자동 재생</t>
  </si>
  <si>
    <t>추가 조작 없이 1순위 CCTV 재생, 한 번에 1개만 재생</t>
  </si>
  <si>
    <t>앱</t>
  </si>
  <si>
    <t>FR-05</t>
  </si>
  <si>
    <t>hls.js. 원래 9~10W 계획 → 조기 완료</t>
  </si>
  <si>
    <t>4.5</t>
  </si>
  <si>
    <t>재생 실패 시 다음 CCTV 자동 전환</t>
  </si>
  <si>
    <t>송출 중단 시 다음 CCTV로 넘기고 «영상 없음» 표시</t>
  </si>
  <si>
    <t>FR-06</t>
  </si>
  <si>
    <t>예외 E5</t>
  </si>
  <si>
    <t>4.6</t>
  </si>
  <si>
    <t>30초·500m 자동 갱신·지나친 CCTV 제외</t>
  </si>
  <si>
    <t>시간·거리 조건 중 먼저 오는 쪽으로 재선별</t>
  </si>
  <si>
    <t>4.7</t>
  </si>
  <si>
    <t>동승자 확인 절차·운전 중 시청 금지 안내</t>
  </si>
  <si>
    <t>한주성(기획·앱)</t>
  </si>
  <si>
    <t>동승자 확인 전 영상 미재생</t>
  </si>
  <si>
    <t>FR-01</t>
  </si>
  <si>
    <t>예외 E1. 도로교통법 제49조. 원래 11W 계획 → 조기 완료</t>
  </si>
  <si>
    <t>4.8</t>
  </si>
  <si>
    <t>돌발 배지·앞길 한 줄 요약(정체 원인)</t>
  </si>
  <si>
    <t>한주성(앱·서버)</t>
  </si>
  <si>
    <t>'2.8km 앞 공사 · 1차로 통제'처럼 앞길 돌발·정체를 한 줄로 표시</t>
  </si>
  <si>
    <t>FR-07, FR-08</t>
  </si>
  <si>
    <t>돌발 배지 완료, 정체 원인 요약 다듬는 중</t>
  </si>
  <si>
    <t>4.9</t>
  </si>
  <si>
    <t>언제 지나가나 표시·크게 보며 넘기기</t>
  </si>
  <si>
    <t>'580m 앞 · 약 20초 후 통과' 표시, CCTV를 크게 보며 넘기기</t>
  </si>
  <si>
    <t>FR-17, FR-18</t>
  </si>
  <si>
    <t>4.10</t>
  </si>
  <si>
    <t>미니맵(카카오 지도)·길 색 = 막힘 정도</t>
  </si>
  <si>
    <t>내 위치·'내 앞' 범위·CCTV·경로 표시, 초록 원활·노랑 서행·빨강 정체</t>
  </si>
  <si>
    <t>FR-11</t>
  </si>
  <si>
    <t>4.11</t>
  </si>
  <si>
    <t>목적지 경로 비교(경로별 CCTV 수·막힌 구간)</t>
  </si>
  <si>
    <t>한주성(앱·알고리즘)</t>
  </si>
  <si>
    <t>경로 3개를 비교해 고르고, 고른 경로 위 CCTV만 가까운 순 표시</t>
  </si>
  <si>
    <t>FR-10</t>
  </si>
  <si>
    <t>턴바이턴 길안내는 하지 않음</t>
  </si>
  <si>
    <t>4.12</t>
  </si>
  <si>
    <t>탭 4개(홈·앞길·기록·내 정보)·기록 탭·밤 모드·날씨·노면</t>
  </si>
  <si>
    <t>탭 화면 구성, 주행 중 만난 정체·돌발 기록, 밤 모드, 날씨·노면 표시</t>
  </si>
  <si>
    <t>FR-14, FR-15, FR-20</t>
  </si>
  <si>
    <t>날씨·노면: Open-Meteo</t>
  </si>
  <si>
    <t>4.13</t>
  </si>
  <si>
    <t>오픈소스 라이선스 화면(111개 고지)·약관 정리</t>
  </si>
  <si>
    <t>사용 OSS·License를 앱 안에 고지, ITS·UTIC 출처 표기</t>
  </si>
  <si>
    <t>앱 / OSS License 목록</t>
  </si>
  <si>
    <t>FR-16</t>
  </si>
  <si>
    <t>원래 14W 계획 → 조기 완료</t>
  </si>
  <si>
    <t>4.14</t>
  </si>
  <si>
    <t>시나리오 20개·실제 ITS 데이터로 기능 검증</t>
  </si>
  <si>
    <t>한주성(검증)</t>
  </si>
  <si>
    <t>시연 시나리오 패널로 20개 상황 재현, 바뀐 코드·빌드·키 노출 점검</t>
  </si>
  <si>
    <t>시연 시나리오 / 커밋 기록</t>
  </si>
  <si>
    <t>생성형 AI(Claude Code) 코드는 검토·검증 후 커밋</t>
  </si>
  <si>
    <t>4.15</t>
  </si>
  <si>
    <t>중간발표 자료 작성·발표</t>
  </si>
  <si>
    <t>문제·설계·구현 시연(40초)과 피드백 기록</t>
  </si>
  <si>
    <t>중간발표 자료 v2.1</t>
  </si>
  <si>
    <t>2026-10-21 발표. 피드백은 5.1에서 반영</t>
  </si>
  <si>
    <t>5.0</t>
  </si>
  <si>
    <t>Sprint-#3 서버 이전·AI 시작</t>
  </si>
  <si>
    <t>한주성(서버·AI)</t>
  </si>
  <si>
    <t>국내 IP 서버에서 ITS·UTIC를 받고, CCTV 속 차 검출을 시작</t>
  </si>
  <si>
    <t>운영 서버 / AI 검출 시험 결과</t>
  </si>
  <si>
    <t>FR-12, FR-22</t>
  </si>
  <si>
    <t>9~10W.</t>
  </si>
  <si>
    <t>5.1</t>
  </si>
  <si>
    <t>중간발표 피드백 반영·산출물 v2.0 최신화</t>
  </si>
  <si>
    <t>한주성(PM)
남준혁(문서 검토)</t>
  </si>
  <si>
    <t>중간발표 기준으로 헌장·PRD·TRD·WBS 등 내용 맞추기</t>
  </si>
  <si>
    <t>산출물 v2.0</t>
  </si>
  <si>
    <t>개발 착수 전 반영</t>
  </si>
  <si>
    <t>5.2</t>
  </si>
  <si>
    <t>국내 IP 서버 선정·ITS 연결 테스트</t>
  </si>
  <si>
    <t>옮기기 전에 그 서버에서 ITS 응답 확인</t>
  </si>
  <si>
    <t>서버 선정 기록</t>
  </si>
  <si>
    <t>결정 필요</t>
  </si>
  <si>
    <t>5.3</t>
  </si>
  <si>
    <t>백엔드 국내 IP 서버 이전(로그인·DB는 Firebase 유지)</t>
  </si>
  <si>
    <t>개인 PC 없이 CCTV·돌발·길찾기 호출 동작</t>
  </si>
  <si>
    <t>운영 서버</t>
  </si>
  <si>
    <t>API 키는 서버에만</t>
  </si>
  <si>
    <t>5.4</t>
  </si>
  <si>
    <t>UTIC 고정 IP 추가 등록·영상 주소 조회 정리</t>
  </si>
  <si>
    <t>국내 서버 IP 등록 후 서울 도시 CCTV 재생, 내 앞 몇 개만 그때그때 조회</t>
  </si>
  <si>
    <t>진행 중. 크롤링 금지</t>
  </si>
  <si>
    <t>5.5</t>
  </si>
  <si>
    <t>ITS 호출 한도 관리·운영 한도 상향 신청</t>
  </si>
  <si>
    <t>데이터 저장·재사용으로 월 1,000건 안 넘김, 상향 신청</t>
  </si>
  <si>
    <t>호출량 기록</t>
  </si>
  <si>
    <t>대응 중</t>
  </si>
  <si>
    <t>5.6</t>
  </si>
  <si>
    <t>AI 차 검출 시작(MediaPipe 객체 검출)</t>
  </si>
  <si>
    <t>한주성(AI)</t>
  </si>
  <si>
    <t>CCTV 화면에서 차·버스·트럭 검출을 휴대폰 안에서 시험</t>
  </si>
  <si>
    <t>AI 검출 시험 결과</t>
  </si>
  <si>
    <t>FR-22</t>
  </si>
  <si>
    <t>미리 학습된 모델 사용. Apache-2.0</t>
  </si>
  <si>
    <t>6.0</t>
  </si>
  <si>
    <t>Sprint-#4 앱 완성(안드로이드·AI 기능)</t>
  </si>
  <si>
    <t>한주성(앱·AI)</t>
  </si>
  <si>
    <t>안드로이드 폰에서 앱이 돌아가고 우리 차 찾기·앞길 자동 기록이 붙음</t>
  </si>
  <si>
    <t>안드로이드 앱(APK)</t>
  </si>
  <si>
    <t>FR-23, FR-24, FR-25</t>
  </si>
  <si>
    <t>11W.</t>
  </si>
  <si>
    <t>6.1</t>
  </si>
  <si>
    <t>안드로이드 폰 실행(React Native)</t>
  </si>
  <si>
    <t>실제 안드로이드 폰에서 위치·영상 재생 동작</t>
  </si>
  <si>
    <t>안드로이드 앱</t>
  </si>
  <si>
    <t>FR-25</t>
  </si>
  <si>
    <t>RN 프로젝트 추가(10-21)</t>
  </si>
  <si>
    <t>6.2</t>
  </si>
  <si>
    <t>우리 차 찾기</t>
  </si>
  <si>
    <t>한주성(AI·앱)</t>
  </si>
  <si>
    <t>GPS로 CCTV 앞 통과 순간 계산 → 내 쪽 차로 차에 '우리 차?' 표시</t>
  </si>
  <si>
    <t>FR-23</t>
  </si>
  <si>
    <t>과제: CCTV 지연과 GPS 시각 맞추기</t>
  </si>
  <si>
    <t>6.3</t>
  </si>
  <si>
    <t>앞길 자동 기록</t>
  </si>
  <si>
    <t>경로 위 정체·사고 지점 CCTV 캡처 + AI가 정체/서행/원활 판별 → 기록 탭에 시간순</t>
  </si>
  <si>
    <t>FR-14, FR-24</t>
  </si>
  <si>
    <t>캡처 저장은 CCTV 이용 조건 확인 후 적용</t>
  </si>
  <si>
    <t>6.4</t>
  </si>
  <si>
    <t>테스트용 안드로이드 빌드 배포(APK)</t>
  </si>
  <si>
    <t>한주성(배포)</t>
  </si>
  <si>
    <t>테스트 주행·사용성 테스트용 기기에 설치 가능</t>
  </si>
  <si>
    <t>12주차 테스트 주행의 선행 조건</t>
  </si>
  <si>
    <t>7.0</t>
  </si>
  <si>
    <t>검증(실제 주행·사용성 테스트)</t>
  </si>
  <si>
    <t>한주성(PM·평가)
남준혁(측정·진행 기록)</t>
  </si>
  <si>
    <t>실제 주행으로 선별 정확도·AI 정확도·사용성 목표 달성 여부를 측정</t>
  </si>
  <si>
    <t>테스트 주행 결과 / 사용성 테스트 결과 / 결과 보고서</t>
  </si>
  <si>
    <t>NFR-01~NFR-10</t>
  </si>
  <si>
    <t>12~13W.</t>
  </si>
  <si>
    <t>7.1</t>
  </si>
  <si>
    <t>테스트 주행 경로 20곳 선정·측정 방법 정의</t>
  </si>
  <si>
    <t>고속도로·도심·터널 구간을 섞어 20곳 선정, 정답(내 앞 CCTV) 판정 기준 합의</t>
  </si>
  <si>
    <t>테스트 계획서</t>
  </si>
  <si>
    <t>NFR-02</t>
  </si>
  <si>
    <t>7.2</t>
  </si>
  <si>
    <t>실제 주행 선별 정확도(90%)·첫 영상 시간(5초) 측정</t>
  </si>
  <si>
    <t>한주성(PM)
남준혁(동승 측정·결과 기록)</t>
  </si>
  <si>
    <t>고른 CCTV 중 진짜 내 앞 비율 90% 이상, 앱 실행→첫 영상 5초 이내 기록</t>
  </si>
  <si>
    <t>테스트 주행 결과</t>
  </si>
  <si>
    <t>NFR-01, NFR-02, FR-21</t>
  </si>
  <si>
    <t>성공 기준 항목. 반드시 동승자가 조작</t>
  </si>
  <si>
    <t>7.3</t>
  </si>
  <si>
    <t>선별 파라미터 보정(각도·거리·도로 매칭)</t>
  </si>
  <si>
    <t>잘못 고른 사례별 원인과 보정 전후 정확도 비교</t>
  </si>
  <si>
    <t>선별 모듈 개정</t>
  </si>
  <si>
    <t>7.4</t>
  </si>
  <si>
    <t>AI 판별 정확도 측정(목표 80%)</t>
  </si>
  <si>
    <t>캡처한 CCTV 화면의 정체/서행/원활 판별 결과를 사람 판단과 비교</t>
  </si>
  <si>
    <t>AI 정확도 기록</t>
  </si>
  <si>
    <t>NFR-07</t>
  </si>
  <si>
    <t>성공 기준 항목</t>
  </si>
  <si>
    <t>7.5</t>
  </si>
  <si>
    <t>사용성 테스트(10명)</t>
  </si>
  <si>
    <t>한주성(테스트 설계·관찰)
남준혁(참가자 모집·진행 기록)</t>
  </si>
  <si>
    <t>기존 지도 앱 대비 확인 시간 50% 이상 단축, 사용성 점수 70점 이상 여부 기록</t>
  </si>
  <si>
    <t>사용성 테스트 결과</t>
  </si>
  <si>
    <t>NFR-05</t>
  </si>
  <si>
    <t>성공 기준 항목. 같은 지점에서 비교 측정</t>
  </si>
  <si>
    <t>7.6</t>
  </si>
  <si>
    <t>테스트 결과 보고서 작성</t>
  </si>
  <si>
    <t>정확도·재생 시간·AI 정확도·사용성 결과와 개선 우선순위 정리</t>
  </si>
  <si>
    <t>테스트 결과 보고서</t>
  </si>
  <si>
    <t>8.0</t>
  </si>
  <si>
    <t>Retrospective(다듬기·최종발표)</t>
  </si>
  <si>
    <t>한주성(PM·발표)
남준혁(발표 자료 검토)</t>
  </si>
  <si>
    <t>결과를 보고 다듬고, 성공 기준 달성 여부를 기록해 최종 발표</t>
  </si>
  <si>
    <t>최종 앱 / 발표 자료 / 시연 영상</t>
  </si>
  <si>
    <t>8.1</t>
  </si>
  <si>
    <t>결과 보고 보정·버그 수정·회귀 검증</t>
  </si>
  <si>
    <t>한주성(개발)</t>
  </si>
  <si>
    <t>7.6에서 고른 항목만 수정, 기존 정상 사례 재검증</t>
  </si>
  <si>
    <t>최종 앱</t>
  </si>
  <si>
    <t>범위 확대 금지</t>
  </si>
  <si>
    <t>8.2</t>
  </si>
  <si>
    <t>피드백 반영·README·라이선스 고지 최신화</t>
  </si>
  <si>
    <t>새로 쓴 OSS(MediaPipe 등) 고지 추가, README 정리</t>
  </si>
  <si>
    <t>OSS License 목록 / README</t>
  </si>
  <si>
    <t>8.3</t>
  </si>
  <si>
    <t>선별 모듈 GitHub 공개·Contribution 제출</t>
  </si>
  <si>
    <t>선별 모듈 MIT 공개 + 사용 OSS에 Issue/PR 1건 이상</t>
  </si>
  <si>
    <t>GitHub 공개 저장소</t>
  </si>
  <si>
    <t>8.4</t>
  </si>
  <si>
    <t>성공 기준 달성 여부 종합 평가</t>
  </si>
  <si>
    <t>정확도 90%·첫 영상 5초·확인 시간 50% 단축·사용성 70점·AI 80% 달성 여부와 미달 사유 기록</t>
  </si>
  <si>
    <t>최종 평가 기록</t>
  </si>
  <si>
    <t>8.5</t>
  </si>
  <si>
    <t>최종 발표 자료·시연 영상 제작</t>
  </si>
  <si>
    <t>한주성(발표 자료·시연 영상)
남준혁(자료 검토)</t>
  </si>
  <si>
    <t>실제 주행 시연 영상(동승자 촬영) 포함</t>
  </si>
  <si>
    <t>발표 자료 / 시연 영상</t>
  </si>
  <si>
    <t>8.6</t>
  </si>
  <si>
    <t>최종 발표·회고</t>
  </si>
  <si>
    <t>한주성(발표)
남준혁(데모 보조)</t>
  </si>
  <si>
    <t>발표·데모 시연, 미해결 사항 정리 및 회고</t>
  </si>
  <si>
    <t>회고 기록</t>
  </si>
  <si>
    <t>진척 집계</t>
  </si>
  <si>
    <t>완료</t>
  </si>
  <si>
    <t>진행</t>
  </si>
  <si>
    <t>계획</t>
  </si>
  <si>
    <t>기준</t>
  </si>
  <si>
    <t>WBS 세부 작업</t>
  </si>
  <si>
    <t>이 표의 세부 작업(x.0 묶음 행 제외). 완료=100%, 진행=1~99%, 계획=0% — 자동 계산</t>
  </si>
  <si>
    <t>산출물 항목(중간발표 기준)</t>
  </si>
  <si>
    <t>프로그램 목록 v1.1(기능정의 21·UI 16·프로그램 25·IF및API 12·테이블 6 = 80개)의 진행 상태 집계, 2026-10-21 중간발표 기준</t>
  </si>
  <si>
    <t>API 키는 서버에만, 위치는 서버에 저장 안 함</t>
    <phoneticPr fontId="11" type="noConversion"/>
  </si>
  <si>
    <t>14~15W. 다듬기 후 최종 발표(12/9)</t>
    <phoneticPr fontId="11" type="noConversion"/>
  </si>
  <si>
    <t>최종 발표일 2026-12-09 확정</t>
    <phoneticPr fontId="11" type="noConversion"/>
  </si>
  <si>
    <t>등록된 학교·사무실 IP에서만 동작 → 5.4</t>
    <phoneticPr fontId="11" type="noConversion"/>
  </si>
  <si>
    <t>한주성(앱·알고리즘)</t>
    <phoneticPr fontId="11" type="noConversion"/>
  </si>
  <si>
    <t>한주성(PM)
남준혁(기획·자료 수집)</t>
    <phoneticPr fontId="11" type="noConversion"/>
  </si>
  <si>
    <t>한주성(PM)
남준혁(기획)</t>
    <phoneticPr fontId="11" type="noConversion"/>
  </si>
  <si>
    <t>한주성(기획)
남준혁(경쟁사 사례 수집)</t>
    <phoneticPr fontId="11" type="noConversion"/>
  </si>
  <si>
    <t>한주성(PM)</t>
    <phoneticPr fontId="11" type="noConversion"/>
  </si>
  <si>
    <t>한주성(PM·발표)</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</si>
</sst>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m&quot;. &quot;d"/>
    <numFmt numFmtId="177" formatCode="yy&quot;년 &quot;m&quot;월 &quot;d&quot;일&quot;"/>
  </numFmts>
  <fonts count="12" x14ac:knownFonts="1">
    <font>
      <sz val="10"/>
      <color rgb="FF000000"/>
      <name val="Arial"/>
    </font>
    <font>
      <sz val="11"/>
      <name val="Poppins"/>
    </font>
    <font>
      <b/>
      <sz val="30"/>
      <color rgb="FF0B5394"/>
      <name val="Roboto"/>
    </font>
    <font>
      <b/>
      <sz val="32"/>
      <color rgb="FF0B5394"/>
      <name val="Roboto"/>
    </font>
    <font>
      <b/>
      <sz val="12"/>
      <color rgb="FF0B5394"/>
      <name val="Roboto"/>
    </font>
    <font>
      <sz val="11"/>
      <color rgb="FF000000"/>
      <name val="Roboto"/>
    </font>
    <font>
      <sz val="11"/>
      <name val="Roboto"/>
    </font>
    <font>
      <sz val="10"/>
      <name val="Roboto"/>
    </font>
    <font>
      <b/>
      <sz val="10"/>
      <color rgb="FF000000"/>
      <name val="맑은 고딕"/>
      <family val="3"/>
      <charset val="129"/>
    </font>
    <font>
      <sz val="10"/>
      <color rgb="FF000000"/>
      <name val="맑은 고딕"/>
      <family val="3"/>
      <charset val="129"/>
    </font>
    <font>
      <sz val="9"/>
      <color rgb="FF000000"/>
      <name val="맑은 고딕"/>
      <family val="3"/>
      <charset val="129"/>
    </font>
    <font>
      <sz val="8"/>
      <name val="돋움"/>
      <family val="3"/>
      <charset val="129"/>
    </font>
  </fonts>
  <fills count="5">
    <fill>
      <patternFill patternType="none"/>
    </fill>
    <fill>
      <patternFill patternType="gray125"/>
    </fill>
    <fill>
      <patternFill patternType="solid">
        <fgColor rgb="FFFFFFFF"/>
        <bgColor rgb="FFFFFFFF"/>
      </patternFill>
    </fill>
    <fill>
      <patternFill patternType="solid">
        <fgColor rgb="FF73C79E"/>
        <bgColor rgb="FF73C79E"/>
      </patternFill>
    </fill>
    <fill>
      <patternFill patternType="solid">
        <fgColor rgb="FFCCCCCC"/>
        <bgColor rgb="FFCCCCCC"/>
      </patternFill>
    </fill>
  </fills>
  <borders count="7">
    <border>
      <left/>
      <right/>
      <top/>
      <bottom/>
      <diagonal/>
    </border>
    <border>
      <left/>
      <right/>
      <top/>
      <bottom style="thick">
        <color rgb="FF0B5394"/>
      </bottom>
      <diagonal/>
    </border>
    <border>
      <left/>
      <right/>
      <top/>
      <bottom style="thin">
        <color rgb="FFD9D9D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38">
    <xf numFmtId="0" fontId="0" fillId="0" borderId="0" xfId="0"/>
    <xf numFmtId="0" fontId="1" fillId="0" borderId="0" xfId="0" applyFont="1" applyAlignment="1">
      <alignment vertical="center"/>
    </xf>
    <xf numFmtId="0" fontId="3" fillId="2" borderId="1" xfId="0" applyFont="1" applyFill="1" applyBorder="1" applyAlignment="1">
      <alignment vertical="center"/>
    </xf>
    <xf numFmtId="0" fontId="5"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8" fillId="0" borderId="2" xfId="0" applyFont="1" applyBorder="1" applyAlignment="1">
      <alignment horizontal="left" vertical="center" wrapText="1"/>
    </xf>
    <xf numFmtId="0" fontId="9" fillId="2" borderId="0" xfId="0" applyFont="1" applyFill="1" applyAlignment="1">
      <alignment vertical="center" wrapText="1"/>
    </xf>
    <xf numFmtId="0" fontId="8" fillId="0" borderId="0" xfId="0" applyFont="1" applyAlignment="1">
      <alignment horizontal="left" vertical="center" wrapText="1"/>
    </xf>
    <xf numFmtId="0" fontId="9" fillId="0" borderId="0" xfId="0" applyFont="1" applyAlignment="1">
      <alignment vertical="center" wrapText="1"/>
    </xf>
    <xf numFmtId="0" fontId="8" fillId="3" borderId="3"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8" fillId="4" borderId="3" xfId="0" applyFont="1" applyFill="1" applyBorder="1" applyAlignment="1">
      <alignment horizontal="left" vertical="center" wrapText="1"/>
    </xf>
    <xf numFmtId="0" fontId="8" fillId="4" borderId="3" xfId="0" applyFont="1" applyFill="1" applyBorder="1" applyAlignment="1">
      <alignment vertical="center" wrapText="1"/>
    </xf>
    <xf numFmtId="176" fontId="8" fillId="4" borderId="3" xfId="0" applyNumberFormat="1" applyFont="1" applyFill="1" applyBorder="1" applyAlignment="1">
      <alignment horizontal="center" vertical="center" wrapText="1"/>
    </xf>
    <xf numFmtId="0" fontId="8" fillId="4" borderId="3" xfId="0" applyFont="1" applyFill="1" applyBorder="1" applyAlignment="1">
      <alignment horizontal="center" vertical="center" wrapText="1"/>
    </xf>
    <xf numFmtId="9" fontId="8" fillId="4" borderId="3" xfId="0" applyNumberFormat="1" applyFont="1" applyFill="1" applyBorder="1" applyAlignment="1">
      <alignment horizontal="center" vertical="center" wrapText="1"/>
    </xf>
    <xf numFmtId="0" fontId="10" fillId="0" borderId="3" xfId="0" applyFont="1" applyBorder="1" applyAlignment="1">
      <alignment horizontal="left" vertical="center" wrapText="1"/>
    </xf>
    <xf numFmtId="0" fontId="10" fillId="0" borderId="3" xfId="0" applyFont="1" applyBorder="1" applyAlignment="1">
      <alignment vertical="center" wrapText="1"/>
    </xf>
    <xf numFmtId="176" fontId="10" fillId="0" borderId="3" xfId="0" applyNumberFormat="1" applyFont="1" applyBorder="1" applyAlignment="1">
      <alignment horizontal="center" vertical="center" wrapText="1"/>
    </xf>
    <xf numFmtId="0" fontId="10" fillId="0" borderId="3" xfId="0" applyFont="1" applyBorder="1" applyAlignment="1">
      <alignment horizontal="center" vertical="center" wrapText="1"/>
    </xf>
    <xf numFmtId="9" fontId="10" fillId="0" borderId="3" xfId="0" applyNumberFormat="1" applyFont="1" applyBorder="1" applyAlignment="1">
      <alignment horizontal="center" vertical="center" wrapText="1"/>
    </xf>
    <xf numFmtId="0" fontId="8" fillId="4" borderId="3" xfId="0" applyFont="1" applyFill="1" applyBorder="1" applyAlignment="1">
      <alignment horizontal="left" vertical="center" wrapText="1"/>
    </xf>
    <xf numFmtId="0" fontId="0" fillId="0" borderId="5" xfId="0" applyBorder="1"/>
    <xf numFmtId="0" fontId="8" fillId="4" borderId="3" xfId="0" applyFont="1" applyFill="1" applyBorder="1" applyAlignment="1">
      <alignment vertical="center" wrapText="1"/>
    </xf>
    <xf numFmtId="0" fontId="0" fillId="0" borderId="6" xfId="0" applyBorder="1"/>
    <xf numFmtId="0" fontId="8" fillId="0" borderId="0" xfId="0" applyFont="1" applyAlignment="1">
      <alignment horizontal="left" vertical="center" wrapText="1"/>
    </xf>
    <xf numFmtId="0" fontId="0" fillId="0" borderId="0" xfId="0"/>
    <xf numFmtId="0" fontId="9" fillId="0" borderId="0" xfId="0" applyFont="1" applyAlignment="1">
      <alignment vertical="center" wrapText="1"/>
    </xf>
    <xf numFmtId="177" fontId="9" fillId="0" borderId="2" xfId="0" applyNumberFormat="1" applyFont="1" applyBorder="1" applyAlignment="1">
      <alignment horizontal="left" vertical="center" wrapText="1"/>
    </xf>
    <xf numFmtId="0" fontId="0" fillId="0" borderId="2" xfId="0" applyBorder="1"/>
    <xf numFmtId="0" fontId="8" fillId="3" borderId="3" xfId="0" applyFont="1" applyFill="1" applyBorder="1" applyAlignment="1">
      <alignment horizontal="center" vertical="center" wrapText="1"/>
    </xf>
    <xf numFmtId="0" fontId="2" fillId="2" borderId="1" xfId="0" applyFont="1" applyFill="1" applyBorder="1" applyAlignment="1">
      <alignment vertical="center"/>
    </xf>
    <xf numFmtId="0" fontId="0" fillId="0" borderId="1" xfId="0" applyBorder="1"/>
    <xf numFmtId="0" fontId="4" fillId="2" borderId="1" xfId="0" applyFont="1" applyFill="1" applyBorder="1" applyAlignment="1">
      <alignment vertical="center" wrapText="1"/>
    </xf>
    <xf numFmtId="0" fontId="8" fillId="0" borderId="2" xfId="0" applyFont="1" applyBorder="1" applyAlignment="1">
      <alignment horizontal="left" vertical="center" wrapText="1"/>
    </xf>
    <xf numFmtId="0" fontId="9" fillId="2" borderId="2" xfId="0" applyFont="1" applyFill="1" applyBorder="1" applyAlignment="1">
      <alignment vertical="center" wrapText="1"/>
    </xf>
    <xf numFmtId="0" fontId="9" fillId="0" borderId="2" xfId="0" applyFont="1" applyBorder="1" applyAlignment="1">
      <alignment horizontal="lef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D85C6"/>
    <outlinePr summaryBelow="0" summaryRight="0"/>
  </sheetPr>
  <dimension ref="A1:L78"/>
  <sheetViews>
    <sheetView showGridLines="0" tabSelected="1" workbookViewId="0">
      <selection activeCell="D74" sqref="D74"/>
    </sheetView>
  </sheetViews>
  <sheetFormatPr defaultColWidth="12.6640625" defaultRowHeight="15.75" customHeight="1" outlineLevelRow="1" x14ac:dyDescent="0.25"/>
  <cols>
    <col min="1" max="1" width="3" customWidth="1"/>
    <col min="2" max="2" width="6" customWidth="1"/>
    <col min="3" max="3" width="30" customWidth="1"/>
    <col min="4" max="4" width="26" customWidth="1"/>
    <col min="5" max="6" width="8" customWidth="1"/>
    <col min="7" max="7" width="5.44140625" hidden="1" customWidth="1"/>
    <col min="8" max="8" width="6.44140625" customWidth="1"/>
    <col min="9" max="9" width="36" customWidth="1"/>
    <col min="10" max="10" width="22" customWidth="1"/>
    <col min="11" max="11" width="12" customWidth="1"/>
    <col min="12" max="12" width="32" customWidth="1"/>
  </cols>
  <sheetData>
    <row r="1" spans="1:12" ht="21" customHeight="1" x14ac:dyDescent="0.25">
      <c r="A1" s="1"/>
      <c r="B1" s="32" t="s">
        <v>0</v>
      </c>
      <c r="C1" s="33"/>
      <c r="D1" s="33"/>
      <c r="E1" s="33"/>
      <c r="F1" s="33"/>
      <c r="G1" s="33"/>
      <c r="H1" s="2"/>
      <c r="I1" s="34" t="s">
        <v>1</v>
      </c>
      <c r="J1" s="33"/>
      <c r="K1" s="33"/>
      <c r="L1" s="33"/>
    </row>
    <row r="2" spans="1:12" ht="34.049999999999997" customHeight="1" x14ac:dyDescent="0.25">
      <c r="A2" s="1"/>
      <c r="B2" s="35" t="s">
        <v>2</v>
      </c>
      <c r="C2" s="30"/>
      <c r="D2" s="36" t="s">
        <v>3</v>
      </c>
      <c r="E2" s="30"/>
      <c r="F2" s="30"/>
      <c r="G2" s="30"/>
      <c r="H2" s="7"/>
      <c r="I2" s="6" t="s">
        <v>4</v>
      </c>
      <c r="J2" s="37" t="s">
        <v>5</v>
      </c>
      <c r="K2" s="30"/>
      <c r="L2" s="30"/>
    </row>
    <row r="3" spans="1:12" ht="19.95" customHeight="1" x14ac:dyDescent="0.25">
      <c r="A3" s="1"/>
      <c r="B3" s="26" t="s">
        <v>6</v>
      </c>
      <c r="C3" s="27"/>
      <c r="D3" s="28" t="s">
        <v>7</v>
      </c>
      <c r="E3" s="27"/>
      <c r="F3" s="27"/>
      <c r="G3" s="27"/>
      <c r="H3" s="9"/>
      <c r="I3" s="8" t="s">
        <v>8</v>
      </c>
      <c r="J3" s="29">
        <v>46321</v>
      </c>
      <c r="K3" s="30"/>
      <c r="L3" s="30"/>
    </row>
    <row r="4" spans="1:12" ht="30" customHeight="1" x14ac:dyDescent="0.25">
      <c r="A4" s="3"/>
      <c r="B4" s="10" t="s">
        <v>9</v>
      </c>
      <c r="C4" s="10" t="s">
        <v>10</v>
      </c>
      <c r="D4" s="10" t="s">
        <v>11</v>
      </c>
      <c r="E4" s="10" t="s">
        <v>12</v>
      </c>
      <c r="F4" s="10" t="s">
        <v>13</v>
      </c>
      <c r="G4" s="10" t="s">
        <v>14</v>
      </c>
      <c r="H4" s="10" t="s">
        <v>15</v>
      </c>
      <c r="I4" s="10" t="s">
        <v>16</v>
      </c>
      <c r="J4" s="11" t="s">
        <v>17</v>
      </c>
      <c r="K4" s="11" t="s">
        <v>18</v>
      </c>
      <c r="L4" s="11" t="s">
        <v>19</v>
      </c>
    </row>
    <row r="5" spans="1:12" ht="52.95" customHeight="1" x14ac:dyDescent="0.25">
      <c r="A5" s="4"/>
      <c r="B5" s="12" t="s">
        <v>20</v>
      </c>
      <c r="C5" s="13" t="s">
        <v>21</v>
      </c>
      <c r="D5" s="13" t="s">
        <v>419</v>
      </c>
      <c r="E5" s="14">
        <f>MIN(E6:E10)</f>
        <v>46279</v>
      </c>
      <c r="F5" s="14">
        <f>MAX(F6:F10)</f>
        <v>46283</v>
      </c>
      <c r="G5" s="15">
        <f t="shared" ref="G5:G36" si="0">DAYS360(E5,F5)</f>
        <v>4</v>
      </c>
      <c r="H5" s="16">
        <f>ROUND(AVERAGE(H6:H10),2)</f>
        <v>1</v>
      </c>
      <c r="I5" s="13" t="s">
        <v>22</v>
      </c>
      <c r="J5" s="13" t="s">
        <v>23</v>
      </c>
      <c r="K5" s="13" t="s">
        <v>24</v>
      </c>
      <c r="L5" s="13" t="s">
        <v>25</v>
      </c>
    </row>
    <row r="6" spans="1:12" ht="34.049999999999997" customHeight="1" outlineLevel="1" x14ac:dyDescent="0.25">
      <c r="A6" s="5"/>
      <c r="B6" s="17" t="s">
        <v>26</v>
      </c>
      <c r="C6" s="18" t="s">
        <v>27</v>
      </c>
      <c r="D6" s="18" t="s">
        <v>420</v>
      </c>
      <c r="E6" s="19">
        <v>46279</v>
      </c>
      <c r="F6" s="19">
        <v>46280</v>
      </c>
      <c r="G6" s="20">
        <f t="shared" si="0"/>
        <v>1</v>
      </c>
      <c r="H6" s="21">
        <v>1</v>
      </c>
      <c r="I6" s="18" t="s">
        <v>28</v>
      </c>
      <c r="J6" s="18" t="s">
        <v>29</v>
      </c>
      <c r="K6" s="18" t="s">
        <v>24</v>
      </c>
      <c r="L6" s="18" t="s">
        <v>30</v>
      </c>
    </row>
    <row r="7" spans="1:12" ht="46.95" customHeight="1" outlineLevel="1" x14ac:dyDescent="0.25">
      <c r="A7" s="5"/>
      <c r="B7" s="17" t="s">
        <v>31</v>
      </c>
      <c r="C7" s="18" t="s">
        <v>32</v>
      </c>
      <c r="D7" s="18" t="s">
        <v>421</v>
      </c>
      <c r="E7" s="19">
        <v>46279</v>
      </c>
      <c r="F7" s="19">
        <v>46281</v>
      </c>
      <c r="G7" s="20">
        <f t="shared" si="0"/>
        <v>2</v>
      </c>
      <c r="H7" s="21">
        <v>1</v>
      </c>
      <c r="I7" s="18" t="s">
        <v>33</v>
      </c>
      <c r="J7" s="18" t="s">
        <v>34</v>
      </c>
      <c r="K7" s="18" t="s">
        <v>24</v>
      </c>
      <c r="L7" s="18" t="s">
        <v>35</v>
      </c>
    </row>
    <row r="8" spans="1:12" ht="34.049999999999997" customHeight="1" outlineLevel="1" x14ac:dyDescent="0.25">
      <c r="A8" s="5"/>
      <c r="B8" s="17" t="s">
        <v>36</v>
      </c>
      <c r="C8" s="18" t="s">
        <v>37</v>
      </c>
      <c r="D8" s="18" t="s">
        <v>38</v>
      </c>
      <c r="E8" s="19">
        <v>46280</v>
      </c>
      <c r="F8" s="19">
        <v>46283</v>
      </c>
      <c r="G8" s="20">
        <f t="shared" si="0"/>
        <v>3</v>
      </c>
      <c r="H8" s="21">
        <v>1</v>
      </c>
      <c r="I8" s="18" t="s">
        <v>39</v>
      </c>
      <c r="J8" s="18" t="s">
        <v>40</v>
      </c>
      <c r="K8" s="18" t="s">
        <v>41</v>
      </c>
      <c r="L8" s="18" t="s">
        <v>42</v>
      </c>
    </row>
    <row r="9" spans="1:12" ht="34.049999999999997" customHeight="1" outlineLevel="1" x14ac:dyDescent="0.25">
      <c r="A9" s="5"/>
      <c r="B9" s="17" t="s">
        <v>43</v>
      </c>
      <c r="C9" s="18" t="s">
        <v>44</v>
      </c>
      <c r="D9" s="18" t="s">
        <v>45</v>
      </c>
      <c r="E9" s="19">
        <v>46281</v>
      </c>
      <c r="F9" s="19">
        <v>46283</v>
      </c>
      <c r="G9" s="20">
        <f t="shared" si="0"/>
        <v>2</v>
      </c>
      <c r="H9" s="21">
        <v>1</v>
      </c>
      <c r="I9" s="18" t="s">
        <v>46</v>
      </c>
      <c r="J9" s="18" t="s">
        <v>47</v>
      </c>
      <c r="K9" s="18" t="s">
        <v>24</v>
      </c>
      <c r="L9" s="18" t="s">
        <v>48</v>
      </c>
    </row>
    <row r="10" spans="1:12" ht="34.049999999999997" customHeight="1" outlineLevel="1" x14ac:dyDescent="0.25">
      <c r="A10" s="5"/>
      <c r="B10" s="17" t="s">
        <v>49</v>
      </c>
      <c r="C10" s="18" t="s">
        <v>50</v>
      </c>
      <c r="D10" s="18" t="s">
        <v>422</v>
      </c>
      <c r="E10" s="19">
        <v>46281</v>
      </c>
      <c r="F10" s="19">
        <v>46283</v>
      </c>
      <c r="G10" s="20">
        <f t="shared" si="0"/>
        <v>2</v>
      </c>
      <c r="H10" s="21">
        <v>1</v>
      </c>
      <c r="I10" s="18" t="s">
        <v>51</v>
      </c>
      <c r="J10" s="18" t="s">
        <v>47</v>
      </c>
      <c r="K10" s="18" t="s">
        <v>24</v>
      </c>
      <c r="L10" s="18"/>
    </row>
    <row r="11" spans="1:12" ht="60" customHeight="1" outlineLevel="1" x14ac:dyDescent="0.25">
      <c r="A11" s="4"/>
      <c r="B11" s="12" t="s">
        <v>52</v>
      </c>
      <c r="C11" s="13" t="s">
        <v>53</v>
      </c>
      <c r="D11" s="13" t="s">
        <v>54</v>
      </c>
      <c r="E11" s="14">
        <f>MIN(E12:E21)</f>
        <v>46286</v>
      </c>
      <c r="F11" s="14">
        <f>MAX(F12:F21)</f>
        <v>46309</v>
      </c>
      <c r="G11" s="15">
        <f t="shared" si="0"/>
        <v>23</v>
      </c>
      <c r="H11" s="16">
        <f>ROUND(AVERAGE(H12:H21),2)</f>
        <v>1</v>
      </c>
      <c r="I11" s="13" t="s">
        <v>55</v>
      </c>
      <c r="J11" s="13" t="s">
        <v>56</v>
      </c>
      <c r="K11" s="13" t="s">
        <v>24</v>
      </c>
      <c r="L11" s="13" t="s">
        <v>57</v>
      </c>
    </row>
    <row r="12" spans="1:12" ht="46.95" customHeight="1" outlineLevel="1" x14ac:dyDescent="0.25">
      <c r="A12" s="5"/>
      <c r="B12" s="17" t="s">
        <v>58</v>
      </c>
      <c r="C12" s="18" t="s">
        <v>59</v>
      </c>
      <c r="D12" s="18" t="s">
        <v>60</v>
      </c>
      <c r="E12" s="19">
        <v>46286</v>
      </c>
      <c r="F12" s="19">
        <v>46309</v>
      </c>
      <c r="G12" s="20">
        <f t="shared" si="0"/>
        <v>23</v>
      </c>
      <c r="H12" s="21">
        <v>1</v>
      </c>
      <c r="I12" s="18" t="s">
        <v>61</v>
      </c>
      <c r="J12" s="18" t="s">
        <v>62</v>
      </c>
      <c r="K12" s="18" t="s">
        <v>63</v>
      </c>
      <c r="L12" s="18" t="s">
        <v>64</v>
      </c>
    </row>
    <row r="13" spans="1:12" ht="34.049999999999997" customHeight="1" x14ac:dyDescent="0.25">
      <c r="A13" s="5"/>
      <c r="B13" s="17" t="s">
        <v>65</v>
      </c>
      <c r="C13" s="18" t="s">
        <v>66</v>
      </c>
      <c r="D13" s="18" t="s">
        <v>67</v>
      </c>
      <c r="E13" s="19">
        <v>46286</v>
      </c>
      <c r="F13" s="19">
        <v>46289</v>
      </c>
      <c r="G13" s="20">
        <f t="shared" si="0"/>
        <v>3</v>
      </c>
      <c r="H13" s="21">
        <v>1</v>
      </c>
      <c r="I13" s="18" t="s">
        <v>68</v>
      </c>
      <c r="J13" s="18" t="s">
        <v>69</v>
      </c>
      <c r="K13" s="18" t="s">
        <v>24</v>
      </c>
      <c r="L13" s="18" t="s">
        <v>70</v>
      </c>
    </row>
    <row r="14" spans="1:12" ht="60" customHeight="1" outlineLevel="1" x14ac:dyDescent="0.25">
      <c r="A14" s="5"/>
      <c r="B14" s="17" t="s">
        <v>71</v>
      </c>
      <c r="C14" s="18" t="s">
        <v>72</v>
      </c>
      <c r="D14" s="18" t="s">
        <v>73</v>
      </c>
      <c r="E14" s="19">
        <v>46287</v>
      </c>
      <c r="F14" s="19">
        <v>46309</v>
      </c>
      <c r="G14" s="20">
        <f t="shared" si="0"/>
        <v>22</v>
      </c>
      <c r="H14" s="21">
        <v>1</v>
      </c>
      <c r="I14" s="18" t="s">
        <v>74</v>
      </c>
      <c r="J14" s="18" t="s">
        <v>75</v>
      </c>
      <c r="K14" s="18" t="s">
        <v>76</v>
      </c>
      <c r="L14" s="18" t="s">
        <v>77</v>
      </c>
    </row>
    <row r="15" spans="1:12" ht="34.049999999999997" customHeight="1" outlineLevel="1" x14ac:dyDescent="0.25">
      <c r="A15" s="5"/>
      <c r="B15" s="17" t="s">
        <v>78</v>
      </c>
      <c r="C15" s="18" t="s">
        <v>79</v>
      </c>
      <c r="D15" s="18" t="s">
        <v>80</v>
      </c>
      <c r="E15" s="19">
        <v>46288</v>
      </c>
      <c r="F15" s="19">
        <v>46309</v>
      </c>
      <c r="G15" s="20">
        <f t="shared" si="0"/>
        <v>21</v>
      </c>
      <c r="H15" s="21">
        <v>1</v>
      </c>
      <c r="I15" s="18" t="s">
        <v>81</v>
      </c>
      <c r="J15" s="18" t="s">
        <v>82</v>
      </c>
      <c r="K15" s="18" t="s">
        <v>24</v>
      </c>
      <c r="L15" s="18" t="s">
        <v>83</v>
      </c>
    </row>
    <row r="16" spans="1:12" ht="34.049999999999997" customHeight="1" outlineLevel="1" x14ac:dyDescent="0.25">
      <c r="A16" s="5"/>
      <c r="B16" s="17" t="s">
        <v>84</v>
      </c>
      <c r="C16" s="18" t="s">
        <v>85</v>
      </c>
      <c r="D16" s="18" t="s">
        <v>86</v>
      </c>
      <c r="E16" s="19">
        <v>46289</v>
      </c>
      <c r="F16" s="19">
        <v>46309</v>
      </c>
      <c r="G16" s="20">
        <f t="shared" si="0"/>
        <v>20</v>
      </c>
      <c r="H16" s="21">
        <v>1</v>
      </c>
      <c r="I16" s="18" t="s">
        <v>87</v>
      </c>
      <c r="J16" s="18" t="s">
        <v>88</v>
      </c>
      <c r="K16" s="18" t="s">
        <v>89</v>
      </c>
      <c r="L16" s="18" t="s">
        <v>414</v>
      </c>
    </row>
    <row r="17" spans="1:12" ht="34.049999999999997" customHeight="1" outlineLevel="1" x14ac:dyDescent="0.25">
      <c r="A17" s="5"/>
      <c r="B17" s="17" t="s">
        <v>90</v>
      </c>
      <c r="C17" s="18" t="s">
        <v>91</v>
      </c>
      <c r="D17" s="18" t="s">
        <v>45</v>
      </c>
      <c r="E17" s="19">
        <v>46289</v>
      </c>
      <c r="F17" s="19">
        <v>46293</v>
      </c>
      <c r="G17" s="20">
        <f t="shared" si="0"/>
        <v>4</v>
      </c>
      <c r="H17" s="21">
        <v>1</v>
      </c>
      <c r="I17" s="18" t="s">
        <v>92</v>
      </c>
      <c r="J17" s="18" t="s">
        <v>93</v>
      </c>
      <c r="K17" s="18" t="s">
        <v>24</v>
      </c>
      <c r="L17" s="18" t="s">
        <v>94</v>
      </c>
    </row>
    <row r="18" spans="1:12" ht="46.95" customHeight="1" x14ac:dyDescent="0.25">
      <c r="A18" s="5"/>
      <c r="B18" s="17" t="s">
        <v>95</v>
      </c>
      <c r="C18" s="18" t="s">
        <v>96</v>
      </c>
      <c r="D18" s="18" t="s">
        <v>45</v>
      </c>
      <c r="E18" s="19">
        <v>46289</v>
      </c>
      <c r="F18" s="19">
        <v>46293</v>
      </c>
      <c r="G18" s="20">
        <f t="shared" si="0"/>
        <v>4</v>
      </c>
      <c r="H18" s="21">
        <v>1</v>
      </c>
      <c r="I18" s="18" t="s">
        <v>97</v>
      </c>
      <c r="J18" s="18" t="s">
        <v>98</v>
      </c>
      <c r="K18" s="18" t="s">
        <v>24</v>
      </c>
      <c r="L18" s="18" t="s">
        <v>94</v>
      </c>
    </row>
    <row r="19" spans="1:12" ht="34.049999999999997" customHeight="1" outlineLevel="1" x14ac:dyDescent="0.25">
      <c r="A19" s="5"/>
      <c r="B19" s="17" t="s">
        <v>99</v>
      </c>
      <c r="C19" s="18" t="s">
        <v>100</v>
      </c>
      <c r="D19" s="18" t="s">
        <v>101</v>
      </c>
      <c r="E19" s="19">
        <v>46293</v>
      </c>
      <c r="F19" s="19">
        <v>46297</v>
      </c>
      <c r="G19" s="20">
        <f t="shared" si="0"/>
        <v>4</v>
      </c>
      <c r="H19" s="21">
        <v>1</v>
      </c>
      <c r="I19" s="18" t="s">
        <v>102</v>
      </c>
      <c r="J19" s="18" t="s">
        <v>103</v>
      </c>
      <c r="K19" s="18" t="s">
        <v>24</v>
      </c>
      <c r="L19" s="18" t="s">
        <v>104</v>
      </c>
    </row>
    <row r="20" spans="1:12" ht="34.049999999999997" customHeight="1" outlineLevel="1" x14ac:dyDescent="0.25">
      <c r="A20" s="5"/>
      <c r="B20" s="17" t="s">
        <v>105</v>
      </c>
      <c r="C20" s="18" t="s">
        <v>106</v>
      </c>
      <c r="D20" s="18" t="s">
        <v>45</v>
      </c>
      <c r="E20" s="19">
        <v>46303</v>
      </c>
      <c r="F20" s="19">
        <v>46309</v>
      </c>
      <c r="G20" s="20">
        <f t="shared" si="0"/>
        <v>6</v>
      </c>
      <c r="H20" s="21">
        <v>1</v>
      </c>
      <c r="I20" s="18" t="s">
        <v>107</v>
      </c>
      <c r="J20" s="18" t="s">
        <v>108</v>
      </c>
      <c r="K20" s="18" t="s">
        <v>24</v>
      </c>
      <c r="L20" s="18" t="s">
        <v>109</v>
      </c>
    </row>
    <row r="21" spans="1:12" ht="34.049999999999997" customHeight="1" outlineLevel="1" x14ac:dyDescent="0.25">
      <c r="A21" s="5"/>
      <c r="B21" s="17" t="s">
        <v>110</v>
      </c>
      <c r="C21" s="18" t="s">
        <v>111</v>
      </c>
      <c r="D21" s="18" t="s">
        <v>112</v>
      </c>
      <c r="E21" s="19">
        <v>46301</v>
      </c>
      <c r="F21" s="19">
        <v>46303</v>
      </c>
      <c r="G21" s="20">
        <f t="shared" si="0"/>
        <v>2</v>
      </c>
      <c r="H21" s="21">
        <v>1</v>
      </c>
      <c r="I21" s="18" t="s">
        <v>113</v>
      </c>
      <c r="J21" s="18" t="s">
        <v>114</v>
      </c>
      <c r="K21" s="18" t="s">
        <v>24</v>
      </c>
      <c r="L21" s="18" t="s">
        <v>115</v>
      </c>
    </row>
    <row r="22" spans="1:12" ht="73.05" customHeight="1" outlineLevel="1" x14ac:dyDescent="0.25">
      <c r="A22" s="4"/>
      <c r="B22" s="12" t="s">
        <v>116</v>
      </c>
      <c r="C22" s="13" t="s">
        <v>117</v>
      </c>
      <c r="D22" s="13" t="s">
        <v>118</v>
      </c>
      <c r="E22" s="14">
        <f>MIN(E23:E32)</f>
        <v>46293</v>
      </c>
      <c r="F22" s="14">
        <f>MAX(F23:F32)</f>
        <v>46316</v>
      </c>
      <c r="G22" s="15">
        <f t="shared" si="0"/>
        <v>23</v>
      </c>
      <c r="H22" s="16">
        <f>ROUND(AVERAGE(H23:H32),2)</f>
        <v>0.95</v>
      </c>
      <c r="I22" s="13" t="s">
        <v>119</v>
      </c>
      <c r="J22" s="13" t="s">
        <v>120</v>
      </c>
      <c r="K22" s="13" t="s">
        <v>121</v>
      </c>
      <c r="L22" s="13" t="s">
        <v>122</v>
      </c>
    </row>
    <row r="23" spans="1:12" ht="34.049999999999997" customHeight="1" outlineLevel="1" x14ac:dyDescent="0.25">
      <c r="A23" s="5"/>
      <c r="B23" s="17" t="s">
        <v>123</v>
      </c>
      <c r="C23" s="18" t="s">
        <v>124</v>
      </c>
      <c r="D23" s="18" t="s">
        <v>125</v>
      </c>
      <c r="E23" s="19">
        <v>46293</v>
      </c>
      <c r="F23" s="19">
        <v>46298</v>
      </c>
      <c r="G23" s="20">
        <f t="shared" si="0"/>
        <v>5</v>
      </c>
      <c r="H23" s="21">
        <v>1</v>
      </c>
      <c r="I23" s="18" t="s">
        <v>126</v>
      </c>
      <c r="J23" s="18" t="s">
        <v>127</v>
      </c>
      <c r="K23" s="18" t="s">
        <v>24</v>
      </c>
      <c r="L23" s="18" t="s">
        <v>128</v>
      </c>
    </row>
    <row r="24" spans="1:12" ht="34.049999999999997" customHeight="1" outlineLevel="1" x14ac:dyDescent="0.25">
      <c r="A24" s="5"/>
      <c r="B24" s="17" t="s">
        <v>129</v>
      </c>
      <c r="C24" s="18" t="s">
        <v>130</v>
      </c>
      <c r="D24" s="18" t="s">
        <v>118</v>
      </c>
      <c r="E24" s="19">
        <v>46296</v>
      </c>
      <c r="F24" s="19">
        <v>46298</v>
      </c>
      <c r="G24" s="20">
        <f t="shared" si="0"/>
        <v>2</v>
      </c>
      <c r="H24" s="21">
        <v>1</v>
      </c>
      <c r="I24" s="18" t="s">
        <v>131</v>
      </c>
      <c r="J24" s="18" t="s">
        <v>132</v>
      </c>
      <c r="K24" s="18" t="s">
        <v>133</v>
      </c>
      <c r="L24" s="18" t="s">
        <v>134</v>
      </c>
    </row>
    <row r="25" spans="1:12" ht="34.049999999999997" customHeight="1" x14ac:dyDescent="0.25">
      <c r="A25" s="5"/>
      <c r="B25" s="17" t="s">
        <v>135</v>
      </c>
      <c r="C25" s="18" t="s">
        <v>136</v>
      </c>
      <c r="D25" s="18" t="s">
        <v>118</v>
      </c>
      <c r="E25" s="19">
        <v>46296</v>
      </c>
      <c r="F25" s="19">
        <v>46298</v>
      </c>
      <c r="G25" s="20">
        <f t="shared" si="0"/>
        <v>2</v>
      </c>
      <c r="H25" s="21">
        <v>1</v>
      </c>
      <c r="I25" s="18" t="s">
        <v>137</v>
      </c>
      <c r="J25" s="18" t="s">
        <v>132</v>
      </c>
      <c r="K25" s="18" t="s">
        <v>138</v>
      </c>
      <c r="L25" s="18"/>
    </row>
    <row r="26" spans="1:12" ht="46.95" customHeight="1" outlineLevel="1" x14ac:dyDescent="0.25">
      <c r="A26" s="5"/>
      <c r="B26" s="17" t="s">
        <v>139</v>
      </c>
      <c r="C26" s="18" t="s">
        <v>140</v>
      </c>
      <c r="D26" s="18" t="s">
        <v>141</v>
      </c>
      <c r="E26" s="19">
        <v>46296</v>
      </c>
      <c r="F26" s="19">
        <v>46298</v>
      </c>
      <c r="G26" s="20">
        <f t="shared" si="0"/>
        <v>2</v>
      </c>
      <c r="H26" s="21">
        <v>1</v>
      </c>
      <c r="I26" s="18" t="s">
        <v>142</v>
      </c>
      <c r="J26" s="18" t="s">
        <v>132</v>
      </c>
      <c r="K26" s="18" t="s">
        <v>89</v>
      </c>
      <c r="L26" s="18" t="s">
        <v>143</v>
      </c>
    </row>
    <row r="27" spans="1:12" ht="34.049999999999997" customHeight="1" outlineLevel="1" x14ac:dyDescent="0.25">
      <c r="A27" s="5"/>
      <c r="B27" s="17" t="s">
        <v>144</v>
      </c>
      <c r="C27" s="18" t="s">
        <v>145</v>
      </c>
      <c r="D27" s="18" t="s">
        <v>146</v>
      </c>
      <c r="E27" s="19">
        <v>46303</v>
      </c>
      <c r="F27" s="19">
        <v>46309</v>
      </c>
      <c r="G27" s="20">
        <f t="shared" si="0"/>
        <v>6</v>
      </c>
      <c r="H27" s="21">
        <v>1</v>
      </c>
      <c r="I27" s="18" t="s">
        <v>147</v>
      </c>
      <c r="J27" s="18" t="s">
        <v>148</v>
      </c>
      <c r="K27" s="18" t="s">
        <v>89</v>
      </c>
      <c r="L27" s="18"/>
    </row>
    <row r="28" spans="1:12" ht="46.95" customHeight="1" outlineLevel="1" x14ac:dyDescent="0.25">
      <c r="A28" s="5"/>
      <c r="B28" s="17" t="s">
        <v>149</v>
      </c>
      <c r="C28" s="18" t="s">
        <v>150</v>
      </c>
      <c r="D28" s="18" t="s">
        <v>151</v>
      </c>
      <c r="E28" s="19">
        <v>46296</v>
      </c>
      <c r="F28" s="19">
        <v>46309</v>
      </c>
      <c r="G28" s="20">
        <f t="shared" si="0"/>
        <v>13</v>
      </c>
      <c r="H28" s="21">
        <v>1</v>
      </c>
      <c r="I28" s="18" t="s">
        <v>152</v>
      </c>
      <c r="J28" s="18" t="s">
        <v>153</v>
      </c>
      <c r="K28" s="18" t="s">
        <v>154</v>
      </c>
      <c r="L28" s="18" t="s">
        <v>155</v>
      </c>
    </row>
    <row r="29" spans="1:12" ht="34.049999999999997" customHeight="1" outlineLevel="1" x14ac:dyDescent="0.25">
      <c r="A29" s="5"/>
      <c r="B29" s="17" t="s">
        <v>156</v>
      </c>
      <c r="C29" s="18" t="s">
        <v>157</v>
      </c>
      <c r="D29" s="18" t="s">
        <v>141</v>
      </c>
      <c r="E29" s="19">
        <v>46296</v>
      </c>
      <c r="F29" s="19">
        <v>46298</v>
      </c>
      <c r="G29" s="20">
        <f t="shared" si="0"/>
        <v>2</v>
      </c>
      <c r="H29" s="21">
        <v>1</v>
      </c>
      <c r="I29" s="18" t="s">
        <v>158</v>
      </c>
      <c r="J29" s="18" t="s">
        <v>159</v>
      </c>
      <c r="K29" s="18" t="s">
        <v>160</v>
      </c>
      <c r="L29" s="18" t="s">
        <v>161</v>
      </c>
    </row>
    <row r="30" spans="1:12" ht="34.049999999999997" customHeight="1" x14ac:dyDescent="0.25">
      <c r="A30" s="5"/>
      <c r="B30" s="17" t="s">
        <v>162</v>
      </c>
      <c r="C30" s="18" t="s">
        <v>163</v>
      </c>
      <c r="D30" s="18" t="s">
        <v>164</v>
      </c>
      <c r="E30" s="19">
        <v>46297</v>
      </c>
      <c r="F30" s="19">
        <v>46298</v>
      </c>
      <c r="G30" s="20">
        <f t="shared" si="0"/>
        <v>1</v>
      </c>
      <c r="H30" s="21">
        <v>1</v>
      </c>
      <c r="I30" s="18" t="s">
        <v>165</v>
      </c>
      <c r="J30" s="18" t="s">
        <v>132</v>
      </c>
      <c r="K30" s="18" t="s">
        <v>166</v>
      </c>
      <c r="L30" s="18"/>
    </row>
    <row r="31" spans="1:12" ht="34.049999999999997" customHeight="1" x14ac:dyDescent="0.25">
      <c r="A31" s="5"/>
      <c r="B31" s="17" t="s">
        <v>167</v>
      </c>
      <c r="C31" s="18" t="s">
        <v>168</v>
      </c>
      <c r="D31" s="18" t="s">
        <v>169</v>
      </c>
      <c r="E31" s="19">
        <v>46299</v>
      </c>
      <c r="F31" s="19">
        <v>46300</v>
      </c>
      <c r="G31" s="20">
        <f t="shared" si="0"/>
        <v>1</v>
      </c>
      <c r="H31" s="21">
        <v>0.8</v>
      </c>
      <c r="I31" s="18" t="s">
        <v>170</v>
      </c>
      <c r="J31" s="18" t="s">
        <v>171</v>
      </c>
      <c r="K31" s="18" t="s">
        <v>172</v>
      </c>
      <c r="L31" s="18" t="s">
        <v>173</v>
      </c>
    </row>
    <row r="32" spans="1:12" ht="34.049999999999997" customHeight="1" x14ac:dyDescent="0.25">
      <c r="A32" s="5"/>
      <c r="B32" s="17" t="s">
        <v>174</v>
      </c>
      <c r="C32" s="18" t="s">
        <v>175</v>
      </c>
      <c r="D32" s="18" t="s">
        <v>118</v>
      </c>
      <c r="E32" s="19">
        <v>46301</v>
      </c>
      <c r="F32" s="19">
        <v>46316</v>
      </c>
      <c r="G32" s="20">
        <f t="shared" si="0"/>
        <v>15</v>
      </c>
      <c r="H32" s="21">
        <v>0.7</v>
      </c>
      <c r="I32" s="18" t="s">
        <v>176</v>
      </c>
      <c r="J32" s="18" t="s">
        <v>132</v>
      </c>
      <c r="K32" s="18" t="s">
        <v>177</v>
      </c>
      <c r="L32" s="18" t="s">
        <v>417</v>
      </c>
    </row>
    <row r="33" spans="1:12" ht="60" customHeight="1" x14ac:dyDescent="0.25">
      <c r="A33" s="4"/>
      <c r="B33" s="12" t="s">
        <v>178</v>
      </c>
      <c r="C33" s="13" t="s">
        <v>179</v>
      </c>
      <c r="D33" s="13" t="s">
        <v>418</v>
      </c>
      <c r="E33" s="14">
        <f>MIN(E34:E48)</f>
        <v>46296</v>
      </c>
      <c r="F33" s="14">
        <f>MAX(F34:F48)</f>
        <v>46316</v>
      </c>
      <c r="G33" s="15">
        <f t="shared" si="0"/>
        <v>20</v>
      </c>
      <c r="H33" s="16">
        <f>ROUND(AVERAGE(H34:H48),2)</f>
        <v>0.97</v>
      </c>
      <c r="I33" s="13" t="s">
        <v>180</v>
      </c>
      <c r="J33" s="13" t="s">
        <v>181</v>
      </c>
      <c r="K33" s="13" t="s">
        <v>182</v>
      </c>
      <c r="L33" s="13" t="s">
        <v>183</v>
      </c>
    </row>
    <row r="34" spans="1:12" ht="34.049999999999997" customHeight="1" x14ac:dyDescent="0.25">
      <c r="A34" s="5"/>
      <c r="B34" s="17" t="s">
        <v>184</v>
      </c>
      <c r="C34" s="18" t="s">
        <v>185</v>
      </c>
      <c r="D34" s="18" t="s">
        <v>186</v>
      </c>
      <c r="E34" s="19">
        <v>46296</v>
      </c>
      <c r="F34" s="19">
        <v>46298</v>
      </c>
      <c r="G34" s="20">
        <f t="shared" si="0"/>
        <v>2</v>
      </c>
      <c r="H34" s="21">
        <v>1</v>
      </c>
      <c r="I34" s="18" t="s">
        <v>187</v>
      </c>
      <c r="J34" s="18" t="s">
        <v>188</v>
      </c>
      <c r="K34" s="18" t="s">
        <v>189</v>
      </c>
      <c r="L34" s="18" t="s">
        <v>190</v>
      </c>
    </row>
    <row r="35" spans="1:12" ht="34.049999999999997" customHeight="1" x14ac:dyDescent="0.25">
      <c r="A35" s="5"/>
      <c r="B35" s="17" t="s">
        <v>191</v>
      </c>
      <c r="C35" s="18" t="s">
        <v>192</v>
      </c>
      <c r="D35" s="18" t="s">
        <v>193</v>
      </c>
      <c r="E35" s="19">
        <v>46296</v>
      </c>
      <c r="F35" s="19">
        <v>46298</v>
      </c>
      <c r="G35" s="20">
        <f t="shared" si="0"/>
        <v>2</v>
      </c>
      <c r="H35" s="21">
        <v>0.9</v>
      </c>
      <c r="I35" s="18" t="s">
        <v>194</v>
      </c>
      <c r="J35" s="18" t="s">
        <v>171</v>
      </c>
      <c r="K35" s="18" t="s">
        <v>195</v>
      </c>
      <c r="L35" s="18" t="s">
        <v>196</v>
      </c>
    </row>
    <row r="36" spans="1:12" ht="34.049999999999997" customHeight="1" x14ac:dyDescent="0.25">
      <c r="A36" s="5"/>
      <c r="B36" s="17" t="s">
        <v>197</v>
      </c>
      <c r="C36" s="18" t="s">
        <v>198</v>
      </c>
      <c r="D36" s="18" t="s">
        <v>193</v>
      </c>
      <c r="E36" s="19">
        <v>46296</v>
      </c>
      <c r="F36" s="19">
        <v>46300</v>
      </c>
      <c r="G36" s="20">
        <f t="shared" si="0"/>
        <v>4</v>
      </c>
      <c r="H36" s="21">
        <v>1</v>
      </c>
      <c r="I36" s="18" t="s">
        <v>199</v>
      </c>
      <c r="J36" s="18" t="s">
        <v>171</v>
      </c>
      <c r="K36" s="18" t="s">
        <v>200</v>
      </c>
      <c r="L36" s="18" t="s">
        <v>201</v>
      </c>
    </row>
    <row r="37" spans="1:12" ht="34.049999999999997" customHeight="1" x14ac:dyDescent="0.25">
      <c r="A37" s="5"/>
      <c r="B37" s="17" t="s">
        <v>202</v>
      </c>
      <c r="C37" s="18" t="s">
        <v>203</v>
      </c>
      <c r="D37" s="18" t="s">
        <v>186</v>
      </c>
      <c r="E37" s="19">
        <v>46296</v>
      </c>
      <c r="F37" s="19">
        <v>46298</v>
      </c>
      <c r="G37" s="20">
        <f t="shared" ref="G37:G68" si="1">DAYS360(E37,F37)</f>
        <v>2</v>
      </c>
      <c r="H37" s="21">
        <v>1</v>
      </c>
      <c r="I37" s="18" t="s">
        <v>204</v>
      </c>
      <c r="J37" s="18" t="s">
        <v>205</v>
      </c>
      <c r="K37" s="18" t="s">
        <v>206</v>
      </c>
      <c r="L37" s="18" t="s">
        <v>207</v>
      </c>
    </row>
    <row r="38" spans="1:12" ht="34.049999999999997" customHeight="1" x14ac:dyDescent="0.25">
      <c r="A38" s="5"/>
      <c r="B38" s="17" t="s">
        <v>208</v>
      </c>
      <c r="C38" s="18" t="s">
        <v>209</v>
      </c>
      <c r="D38" s="18" t="s">
        <v>186</v>
      </c>
      <c r="E38" s="19">
        <v>46296</v>
      </c>
      <c r="F38" s="19">
        <v>46298</v>
      </c>
      <c r="G38" s="20">
        <f t="shared" si="1"/>
        <v>2</v>
      </c>
      <c r="H38" s="21">
        <v>1</v>
      </c>
      <c r="I38" s="18" t="s">
        <v>210</v>
      </c>
      <c r="J38" s="18" t="s">
        <v>205</v>
      </c>
      <c r="K38" s="18" t="s">
        <v>211</v>
      </c>
      <c r="L38" s="18" t="s">
        <v>212</v>
      </c>
    </row>
    <row r="39" spans="1:12" ht="34.049999999999997" customHeight="1" x14ac:dyDescent="0.25">
      <c r="A39" s="5"/>
      <c r="B39" s="17" t="s">
        <v>213</v>
      </c>
      <c r="C39" s="18" t="s">
        <v>214</v>
      </c>
      <c r="D39" s="18" t="s">
        <v>193</v>
      </c>
      <c r="E39" s="19">
        <v>46296</v>
      </c>
      <c r="F39" s="19">
        <v>46298</v>
      </c>
      <c r="G39" s="20">
        <f t="shared" si="1"/>
        <v>2</v>
      </c>
      <c r="H39" s="21">
        <v>1</v>
      </c>
      <c r="I39" s="18" t="s">
        <v>215</v>
      </c>
      <c r="J39" s="18" t="s">
        <v>205</v>
      </c>
      <c r="K39" s="18" t="s">
        <v>206</v>
      </c>
      <c r="L39" s="18"/>
    </row>
    <row r="40" spans="1:12" ht="34.049999999999997" customHeight="1" x14ac:dyDescent="0.25">
      <c r="A40" s="5"/>
      <c r="B40" s="17" t="s">
        <v>216</v>
      </c>
      <c r="C40" s="18" t="s">
        <v>217</v>
      </c>
      <c r="D40" s="18" t="s">
        <v>218</v>
      </c>
      <c r="E40" s="19">
        <v>46296</v>
      </c>
      <c r="F40" s="19">
        <v>46298</v>
      </c>
      <c r="G40" s="20">
        <f t="shared" si="1"/>
        <v>2</v>
      </c>
      <c r="H40" s="21">
        <v>1</v>
      </c>
      <c r="I40" s="18" t="s">
        <v>219</v>
      </c>
      <c r="J40" s="18" t="s">
        <v>205</v>
      </c>
      <c r="K40" s="18" t="s">
        <v>220</v>
      </c>
      <c r="L40" s="18" t="s">
        <v>221</v>
      </c>
    </row>
    <row r="41" spans="1:12" ht="46.95" customHeight="1" x14ac:dyDescent="0.25">
      <c r="A41" s="5"/>
      <c r="B41" s="17" t="s">
        <v>222</v>
      </c>
      <c r="C41" s="18" t="s">
        <v>223</v>
      </c>
      <c r="D41" s="18" t="s">
        <v>224</v>
      </c>
      <c r="E41" s="19">
        <v>46298</v>
      </c>
      <c r="F41" s="19">
        <v>46316</v>
      </c>
      <c r="G41" s="20">
        <f t="shared" si="1"/>
        <v>18</v>
      </c>
      <c r="H41" s="21">
        <v>0.8</v>
      </c>
      <c r="I41" s="18" t="s">
        <v>225</v>
      </c>
      <c r="J41" s="18" t="s">
        <v>205</v>
      </c>
      <c r="K41" s="18" t="s">
        <v>226</v>
      </c>
      <c r="L41" s="18" t="s">
        <v>227</v>
      </c>
    </row>
    <row r="42" spans="1:12" ht="46.95" customHeight="1" x14ac:dyDescent="0.25">
      <c r="A42" s="5"/>
      <c r="B42" s="17" t="s">
        <v>228</v>
      </c>
      <c r="C42" s="18" t="s">
        <v>229</v>
      </c>
      <c r="D42" s="18" t="s">
        <v>186</v>
      </c>
      <c r="E42" s="19">
        <v>46300</v>
      </c>
      <c r="F42" s="19">
        <v>46316</v>
      </c>
      <c r="G42" s="20">
        <f t="shared" si="1"/>
        <v>16</v>
      </c>
      <c r="H42" s="21">
        <v>1</v>
      </c>
      <c r="I42" s="18" t="s">
        <v>230</v>
      </c>
      <c r="J42" s="18" t="s">
        <v>205</v>
      </c>
      <c r="K42" s="18" t="s">
        <v>231</v>
      </c>
      <c r="L42" s="18"/>
    </row>
    <row r="43" spans="1:12" ht="46.95" customHeight="1" x14ac:dyDescent="0.25">
      <c r="A43" s="5"/>
      <c r="B43" s="17" t="s">
        <v>232</v>
      </c>
      <c r="C43" s="18" t="s">
        <v>233</v>
      </c>
      <c r="D43" s="18" t="s">
        <v>186</v>
      </c>
      <c r="E43" s="19">
        <v>46298</v>
      </c>
      <c r="F43" s="19">
        <v>46302</v>
      </c>
      <c r="G43" s="20">
        <f t="shared" si="1"/>
        <v>4</v>
      </c>
      <c r="H43" s="21">
        <v>1</v>
      </c>
      <c r="I43" s="18" t="s">
        <v>234</v>
      </c>
      <c r="J43" s="18" t="s">
        <v>205</v>
      </c>
      <c r="K43" s="18" t="s">
        <v>235</v>
      </c>
      <c r="L43" s="18"/>
    </row>
    <row r="44" spans="1:12" ht="34.049999999999997" customHeight="1" x14ac:dyDescent="0.25">
      <c r="A44" s="5"/>
      <c r="B44" s="17" t="s">
        <v>236</v>
      </c>
      <c r="C44" s="18" t="s">
        <v>237</v>
      </c>
      <c r="D44" s="18" t="s">
        <v>238</v>
      </c>
      <c r="E44" s="19">
        <v>46298</v>
      </c>
      <c r="F44" s="19">
        <v>46316</v>
      </c>
      <c r="G44" s="20">
        <f t="shared" si="1"/>
        <v>18</v>
      </c>
      <c r="H44" s="21">
        <v>0.9</v>
      </c>
      <c r="I44" s="18" t="s">
        <v>239</v>
      </c>
      <c r="J44" s="18" t="s">
        <v>205</v>
      </c>
      <c r="K44" s="18" t="s">
        <v>240</v>
      </c>
      <c r="L44" s="18" t="s">
        <v>241</v>
      </c>
    </row>
    <row r="45" spans="1:12" ht="46.95" customHeight="1" x14ac:dyDescent="0.25">
      <c r="A45" s="5"/>
      <c r="B45" s="17" t="s">
        <v>242</v>
      </c>
      <c r="C45" s="18" t="s">
        <v>243</v>
      </c>
      <c r="D45" s="18" t="s">
        <v>186</v>
      </c>
      <c r="E45" s="19">
        <v>46300</v>
      </c>
      <c r="F45" s="19">
        <v>46302</v>
      </c>
      <c r="G45" s="20">
        <f t="shared" si="1"/>
        <v>2</v>
      </c>
      <c r="H45" s="21">
        <v>1</v>
      </c>
      <c r="I45" s="18" t="s">
        <v>244</v>
      </c>
      <c r="J45" s="18" t="s">
        <v>205</v>
      </c>
      <c r="K45" s="18" t="s">
        <v>245</v>
      </c>
      <c r="L45" s="18" t="s">
        <v>246</v>
      </c>
    </row>
    <row r="46" spans="1:12" ht="34.049999999999997" customHeight="1" x14ac:dyDescent="0.25">
      <c r="A46" s="5"/>
      <c r="B46" s="17" t="s">
        <v>247</v>
      </c>
      <c r="C46" s="18" t="s">
        <v>248</v>
      </c>
      <c r="D46" s="18" t="s">
        <v>186</v>
      </c>
      <c r="E46" s="19">
        <v>46300</v>
      </c>
      <c r="F46" s="19">
        <v>46300</v>
      </c>
      <c r="G46" s="20">
        <f t="shared" si="1"/>
        <v>0</v>
      </c>
      <c r="H46" s="21">
        <v>1</v>
      </c>
      <c r="I46" s="18" t="s">
        <v>249</v>
      </c>
      <c r="J46" s="18" t="s">
        <v>250</v>
      </c>
      <c r="K46" s="18" t="s">
        <v>251</v>
      </c>
      <c r="L46" s="18" t="s">
        <v>252</v>
      </c>
    </row>
    <row r="47" spans="1:12" ht="34.049999999999997" customHeight="1" x14ac:dyDescent="0.25">
      <c r="A47" s="5"/>
      <c r="B47" s="17" t="s">
        <v>253</v>
      </c>
      <c r="C47" s="18" t="s">
        <v>254</v>
      </c>
      <c r="D47" s="18" t="s">
        <v>255</v>
      </c>
      <c r="E47" s="19">
        <v>46309</v>
      </c>
      <c r="F47" s="19">
        <v>46316</v>
      </c>
      <c r="G47" s="20">
        <f t="shared" si="1"/>
        <v>7</v>
      </c>
      <c r="H47" s="21">
        <v>1</v>
      </c>
      <c r="I47" s="18" t="s">
        <v>256</v>
      </c>
      <c r="J47" s="18" t="s">
        <v>257</v>
      </c>
      <c r="K47" s="18" t="s">
        <v>24</v>
      </c>
      <c r="L47" s="18" t="s">
        <v>258</v>
      </c>
    </row>
    <row r="48" spans="1:12" ht="34.049999999999997" customHeight="1" x14ac:dyDescent="0.25">
      <c r="A48" s="5"/>
      <c r="B48" s="17" t="s">
        <v>259</v>
      </c>
      <c r="C48" s="18" t="s">
        <v>260</v>
      </c>
      <c r="D48" s="18" t="s">
        <v>423</v>
      </c>
      <c r="E48" s="19">
        <v>46309</v>
      </c>
      <c r="F48" s="19">
        <v>46316</v>
      </c>
      <c r="G48" s="20">
        <f t="shared" si="1"/>
        <v>7</v>
      </c>
      <c r="H48" s="21">
        <v>1</v>
      </c>
      <c r="I48" s="18" t="s">
        <v>261</v>
      </c>
      <c r="J48" s="18" t="s">
        <v>262</v>
      </c>
      <c r="K48" s="18" t="s">
        <v>24</v>
      </c>
      <c r="L48" s="18" t="s">
        <v>263</v>
      </c>
    </row>
    <row r="49" spans="1:12" ht="52.95" customHeight="1" x14ac:dyDescent="0.25">
      <c r="A49" s="4"/>
      <c r="B49" s="12" t="s">
        <v>264</v>
      </c>
      <c r="C49" s="13" t="s">
        <v>265</v>
      </c>
      <c r="D49" s="13" t="s">
        <v>266</v>
      </c>
      <c r="E49" s="14">
        <f>MIN(E50:E55)</f>
        <v>46321</v>
      </c>
      <c r="F49" s="14">
        <f>MAX(F50:F55)</f>
        <v>46332</v>
      </c>
      <c r="G49" s="15">
        <f t="shared" si="1"/>
        <v>10</v>
      </c>
      <c r="H49" s="16">
        <f>ROUND(AVERAGE(H50:H55),2)</f>
        <v>0.22</v>
      </c>
      <c r="I49" s="13" t="s">
        <v>267</v>
      </c>
      <c r="J49" s="13" t="s">
        <v>268</v>
      </c>
      <c r="K49" s="13" t="s">
        <v>269</v>
      </c>
      <c r="L49" s="13" t="s">
        <v>270</v>
      </c>
    </row>
    <row r="50" spans="1:12" ht="34.049999999999997" customHeight="1" x14ac:dyDescent="0.25">
      <c r="A50" s="5"/>
      <c r="B50" s="17" t="s">
        <v>271</v>
      </c>
      <c r="C50" s="18" t="s">
        <v>272</v>
      </c>
      <c r="D50" s="18" t="s">
        <v>273</v>
      </c>
      <c r="E50" s="19">
        <v>46321</v>
      </c>
      <c r="F50" s="19">
        <v>46323</v>
      </c>
      <c r="G50" s="20">
        <f t="shared" si="1"/>
        <v>2</v>
      </c>
      <c r="H50" s="21">
        <v>0.5</v>
      </c>
      <c r="I50" s="18" t="s">
        <v>274</v>
      </c>
      <c r="J50" s="18" t="s">
        <v>275</v>
      </c>
      <c r="K50" s="18" t="s">
        <v>24</v>
      </c>
      <c r="L50" s="18" t="s">
        <v>276</v>
      </c>
    </row>
    <row r="51" spans="1:12" ht="34.049999999999997" customHeight="1" x14ac:dyDescent="0.25">
      <c r="A51" s="5"/>
      <c r="B51" s="17" t="s">
        <v>277</v>
      </c>
      <c r="C51" s="18" t="s">
        <v>278</v>
      </c>
      <c r="D51" s="18" t="s">
        <v>141</v>
      </c>
      <c r="E51" s="19">
        <v>46321</v>
      </c>
      <c r="F51" s="19">
        <v>46325</v>
      </c>
      <c r="G51" s="20">
        <f t="shared" si="1"/>
        <v>4</v>
      </c>
      <c r="H51" s="21">
        <v>0</v>
      </c>
      <c r="I51" s="18" t="s">
        <v>279</v>
      </c>
      <c r="J51" s="18" t="s">
        <v>280</v>
      </c>
      <c r="K51" s="18" t="s">
        <v>89</v>
      </c>
      <c r="L51" s="18" t="s">
        <v>281</v>
      </c>
    </row>
    <row r="52" spans="1:12" ht="46.95" customHeight="1" x14ac:dyDescent="0.25">
      <c r="A52" s="5"/>
      <c r="B52" s="17" t="s">
        <v>282</v>
      </c>
      <c r="C52" s="18" t="s">
        <v>283</v>
      </c>
      <c r="D52" s="18" t="s">
        <v>141</v>
      </c>
      <c r="E52" s="19">
        <v>46324</v>
      </c>
      <c r="F52" s="19">
        <v>46332</v>
      </c>
      <c r="G52" s="20">
        <f t="shared" si="1"/>
        <v>7</v>
      </c>
      <c r="H52" s="21">
        <v>0</v>
      </c>
      <c r="I52" s="18" t="s">
        <v>284</v>
      </c>
      <c r="J52" s="18" t="s">
        <v>285</v>
      </c>
      <c r="K52" s="18" t="s">
        <v>89</v>
      </c>
      <c r="L52" s="18" t="s">
        <v>286</v>
      </c>
    </row>
    <row r="53" spans="1:12" ht="46.95" customHeight="1" x14ac:dyDescent="0.25">
      <c r="A53" s="5"/>
      <c r="B53" s="17" t="s">
        <v>287</v>
      </c>
      <c r="C53" s="18" t="s">
        <v>288</v>
      </c>
      <c r="D53" s="18" t="s">
        <v>118</v>
      </c>
      <c r="E53" s="19">
        <v>46321</v>
      </c>
      <c r="F53" s="19">
        <v>46332</v>
      </c>
      <c r="G53" s="20">
        <f t="shared" si="1"/>
        <v>10</v>
      </c>
      <c r="H53" s="21">
        <v>0.3</v>
      </c>
      <c r="I53" s="18" t="s">
        <v>289</v>
      </c>
      <c r="J53" s="18" t="s">
        <v>285</v>
      </c>
      <c r="K53" s="18" t="s">
        <v>133</v>
      </c>
      <c r="L53" s="18" t="s">
        <v>290</v>
      </c>
    </row>
    <row r="54" spans="1:12" ht="34.049999999999997" customHeight="1" x14ac:dyDescent="0.25">
      <c r="A54" s="5"/>
      <c r="B54" s="17" t="s">
        <v>291</v>
      </c>
      <c r="C54" s="18" t="s">
        <v>292</v>
      </c>
      <c r="D54" s="18" t="s">
        <v>141</v>
      </c>
      <c r="E54" s="19">
        <v>46321</v>
      </c>
      <c r="F54" s="19">
        <v>46332</v>
      </c>
      <c r="G54" s="20">
        <f t="shared" si="1"/>
        <v>10</v>
      </c>
      <c r="H54" s="21">
        <v>0.5</v>
      </c>
      <c r="I54" s="18" t="s">
        <v>293</v>
      </c>
      <c r="J54" s="18" t="s">
        <v>294</v>
      </c>
      <c r="K54" s="18" t="s">
        <v>89</v>
      </c>
      <c r="L54" s="18" t="s">
        <v>295</v>
      </c>
    </row>
    <row r="55" spans="1:12" ht="34.049999999999997" customHeight="1" x14ac:dyDescent="0.25">
      <c r="A55" s="5"/>
      <c r="B55" s="17" t="s">
        <v>296</v>
      </c>
      <c r="C55" s="18" t="s">
        <v>297</v>
      </c>
      <c r="D55" s="18" t="s">
        <v>298</v>
      </c>
      <c r="E55" s="19">
        <v>46323</v>
      </c>
      <c r="F55" s="19">
        <v>46332</v>
      </c>
      <c r="G55" s="20">
        <f t="shared" si="1"/>
        <v>8</v>
      </c>
      <c r="H55" s="21">
        <v>0</v>
      </c>
      <c r="I55" s="18" t="s">
        <v>299</v>
      </c>
      <c r="J55" s="18" t="s">
        <v>300</v>
      </c>
      <c r="K55" s="18" t="s">
        <v>301</v>
      </c>
      <c r="L55" s="18" t="s">
        <v>302</v>
      </c>
    </row>
    <row r="56" spans="1:12" ht="52.95" customHeight="1" x14ac:dyDescent="0.25">
      <c r="A56" s="4"/>
      <c r="B56" s="12" t="s">
        <v>303</v>
      </c>
      <c r="C56" s="13" t="s">
        <v>304</v>
      </c>
      <c r="D56" s="13" t="s">
        <v>305</v>
      </c>
      <c r="E56" s="14">
        <f>MIN(E57:E60)</f>
        <v>46316</v>
      </c>
      <c r="F56" s="14">
        <f>MAX(F57:F60)</f>
        <v>46339</v>
      </c>
      <c r="G56" s="15">
        <f t="shared" si="1"/>
        <v>22</v>
      </c>
      <c r="H56" s="16">
        <f>ROUND(AVERAGE(H57:H60),2)</f>
        <v>0.05</v>
      </c>
      <c r="I56" s="13" t="s">
        <v>306</v>
      </c>
      <c r="J56" s="13" t="s">
        <v>307</v>
      </c>
      <c r="K56" s="13" t="s">
        <v>308</v>
      </c>
      <c r="L56" s="13" t="s">
        <v>309</v>
      </c>
    </row>
    <row r="57" spans="1:12" ht="34.049999999999997" customHeight="1" x14ac:dyDescent="0.25">
      <c r="A57" s="5"/>
      <c r="B57" s="17" t="s">
        <v>310</v>
      </c>
      <c r="C57" s="18" t="s">
        <v>311</v>
      </c>
      <c r="D57" s="18" t="s">
        <v>186</v>
      </c>
      <c r="E57" s="19">
        <v>46316</v>
      </c>
      <c r="F57" s="19">
        <v>46339</v>
      </c>
      <c r="G57" s="20">
        <f t="shared" si="1"/>
        <v>22</v>
      </c>
      <c r="H57" s="21">
        <v>0.2</v>
      </c>
      <c r="I57" s="18" t="s">
        <v>312</v>
      </c>
      <c r="J57" s="18" t="s">
        <v>313</v>
      </c>
      <c r="K57" s="18" t="s">
        <v>314</v>
      </c>
      <c r="L57" s="18" t="s">
        <v>315</v>
      </c>
    </row>
    <row r="58" spans="1:12" ht="46.95" customHeight="1" x14ac:dyDescent="0.25">
      <c r="A58" s="5"/>
      <c r="B58" s="17" t="s">
        <v>316</v>
      </c>
      <c r="C58" s="18" t="s">
        <v>317</v>
      </c>
      <c r="D58" s="18" t="s">
        <v>318</v>
      </c>
      <c r="E58" s="19">
        <v>46335</v>
      </c>
      <c r="F58" s="19">
        <v>46339</v>
      </c>
      <c r="G58" s="20">
        <f t="shared" si="1"/>
        <v>4</v>
      </c>
      <c r="H58" s="21">
        <v>0</v>
      </c>
      <c r="I58" s="18" t="s">
        <v>319</v>
      </c>
      <c r="J58" s="18" t="s">
        <v>313</v>
      </c>
      <c r="K58" s="18" t="s">
        <v>320</v>
      </c>
      <c r="L58" s="18" t="s">
        <v>321</v>
      </c>
    </row>
    <row r="59" spans="1:12" ht="46.95" customHeight="1" x14ac:dyDescent="0.25">
      <c r="A59" s="5"/>
      <c r="B59" s="17" t="s">
        <v>322</v>
      </c>
      <c r="C59" s="18" t="s">
        <v>323</v>
      </c>
      <c r="D59" s="18" t="s">
        <v>318</v>
      </c>
      <c r="E59" s="19">
        <v>46335</v>
      </c>
      <c r="F59" s="19">
        <v>46339</v>
      </c>
      <c r="G59" s="20">
        <f t="shared" si="1"/>
        <v>4</v>
      </c>
      <c r="H59" s="21">
        <v>0</v>
      </c>
      <c r="I59" s="18" t="s">
        <v>324</v>
      </c>
      <c r="J59" s="18" t="s">
        <v>313</v>
      </c>
      <c r="K59" s="18" t="s">
        <v>325</v>
      </c>
      <c r="L59" s="18" t="s">
        <v>326</v>
      </c>
    </row>
    <row r="60" spans="1:12" ht="34.049999999999997" customHeight="1" x14ac:dyDescent="0.25">
      <c r="A60" s="5"/>
      <c r="B60" s="17" t="s">
        <v>327</v>
      </c>
      <c r="C60" s="18" t="s">
        <v>328</v>
      </c>
      <c r="D60" s="18" t="s">
        <v>329</v>
      </c>
      <c r="E60" s="19">
        <v>46338</v>
      </c>
      <c r="F60" s="19">
        <v>46339</v>
      </c>
      <c r="G60" s="20">
        <f t="shared" si="1"/>
        <v>1</v>
      </c>
      <c r="H60" s="21">
        <v>0</v>
      </c>
      <c r="I60" s="18" t="s">
        <v>330</v>
      </c>
      <c r="J60" s="18" t="s">
        <v>307</v>
      </c>
      <c r="K60" s="18" t="s">
        <v>24</v>
      </c>
      <c r="L60" s="18" t="s">
        <v>331</v>
      </c>
    </row>
    <row r="61" spans="1:12" ht="52.95" customHeight="1" x14ac:dyDescent="0.25">
      <c r="A61" s="4"/>
      <c r="B61" s="12" t="s">
        <v>332</v>
      </c>
      <c r="C61" s="13" t="s">
        <v>333</v>
      </c>
      <c r="D61" s="13" t="s">
        <v>334</v>
      </c>
      <c r="E61" s="14">
        <f>MIN(E62:E67)</f>
        <v>46342</v>
      </c>
      <c r="F61" s="14">
        <f>MAX(F62:F67)</f>
        <v>46353</v>
      </c>
      <c r="G61" s="15">
        <f t="shared" si="1"/>
        <v>11</v>
      </c>
      <c r="H61" s="16">
        <f>ROUND(AVERAGE(H62:H67),2)</f>
        <v>0</v>
      </c>
      <c r="I61" s="13" t="s">
        <v>335</v>
      </c>
      <c r="J61" s="13" t="s">
        <v>336</v>
      </c>
      <c r="K61" s="13" t="s">
        <v>337</v>
      </c>
      <c r="L61" s="13" t="s">
        <v>338</v>
      </c>
    </row>
    <row r="62" spans="1:12" ht="46.95" customHeight="1" x14ac:dyDescent="0.25">
      <c r="A62" s="5"/>
      <c r="B62" s="17" t="s">
        <v>339</v>
      </c>
      <c r="C62" s="18" t="s">
        <v>340</v>
      </c>
      <c r="D62" s="18" t="s">
        <v>45</v>
      </c>
      <c r="E62" s="19">
        <v>46342</v>
      </c>
      <c r="F62" s="19">
        <v>46343</v>
      </c>
      <c r="G62" s="20">
        <f t="shared" si="1"/>
        <v>1</v>
      </c>
      <c r="H62" s="21">
        <v>0</v>
      </c>
      <c r="I62" s="18" t="s">
        <v>341</v>
      </c>
      <c r="J62" s="18" t="s">
        <v>342</v>
      </c>
      <c r="K62" s="18" t="s">
        <v>343</v>
      </c>
      <c r="L62" s="18"/>
    </row>
    <row r="63" spans="1:12" ht="46.95" customHeight="1" x14ac:dyDescent="0.25">
      <c r="A63" s="5"/>
      <c r="B63" s="17" t="s">
        <v>344</v>
      </c>
      <c r="C63" s="18" t="s">
        <v>345</v>
      </c>
      <c r="D63" s="18" t="s">
        <v>346</v>
      </c>
      <c r="E63" s="19">
        <v>46344</v>
      </c>
      <c r="F63" s="19">
        <v>46350</v>
      </c>
      <c r="G63" s="20">
        <f t="shared" si="1"/>
        <v>6</v>
      </c>
      <c r="H63" s="21">
        <v>0</v>
      </c>
      <c r="I63" s="18" t="s">
        <v>347</v>
      </c>
      <c r="J63" s="18" t="s">
        <v>348</v>
      </c>
      <c r="K63" s="18" t="s">
        <v>349</v>
      </c>
      <c r="L63" s="18" t="s">
        <v>350</v>
      </c>
    </row>
    <row r="64" spans="1:12" ht="34.049999999999997" customHeight="1" x14ac:dyDescent="0.25">
      <c r="A64" s="5"/>
      <c r="B64" s="17" t="s">
        <v>351</v>
      </c>
      <c r="C64" s="18" t="s">
        <v>352</v>
      </c>
      <c r="D64" s="18" t="s">
        <v>193</v>
      </c>
      <c r="E64" s="19">
        <v>46349</v>
      </c>
      <c r="F64" s="19">
        <v>46352</v>
      </c>
      <c r="G64" s="20">
        <f t="shared" si="1"/>
        <v>3</v>
      </c>
      <c r="H64" s="21">
        <v>0</v>
      </c>
      <c r="I64" s="18" t="s">
        <v>353</v>
      </c>
      <c r="J64" s="18" t="s">
        <v>354</v>
      </c>
      <c r="K64" s="18" t="s">
        <v>154</v>
      </c>
      <c r="L64" s="18"/>
    </row>
    <row r="65" spans="1:12" ht="34.049999999999997" customHeight="1" x14ac:dyDescent="0.25">
      <c r="A65" s="5"/>
      <c r="B65" s="17" t="s">
        <v>355</v>
      </c>
      <c r="C65" s="18" t="s">
        <v>356</v>
      </c>
      <c r="D65" s="18" t="s">
        <v>298</v>
      </c>
      <c r="E65" s="19">
        <v>46344</v>
      </c>
      <c r="F65" s="19">
        <v>46352</v>
      </c>
      <c r="G65" s="20">
        <f t="shared" si="1"/>
        <v>8</v>
      </c>
      <c r="H65" s="21">
        <v>0</v>
      </c>
      <c r="I65" s="18" t="s">
        <v>357</v>
      </c>
      <c r="J65" s="18" t="s">
        <v>358</v>
      </c>
      <c r="K65" s="18" t="s">
        <v>359</v>
      </c>
      <c r="L65" s="18" t="s">
        <v>360</v>
      </c>
    </row>
    <row r="66" spans="1:12" ht="46.95" customHeight="1" x14ac:dyDescent="0.25">
      <c r="A66" s="5"/>
      <c r="B66" s="17" t="s">
        <v>361</v>
      </c>
      <c r="C66" s="18" t="s">
        <v>362</v>
      </c>
      <c r="D66" s="18" t="s">
        <v>363</v>
      </c>
      <c r="E66" s="19">
        <v>46349</v>
      </c>
      <c r="F66" s="19">
        <v>46353</v>
      </c>
      <c r="G66" s="20">
        <f t="shared" si="1"/>
        <v>4</v>
      </c>
      <c r="H66" s="21">
        <v>0</v>
      </c>
      <c r="I66" s="18" t="s">
        <v>364</v>
      </c>
      <c r="J66" s="18" t="s">
        <v>365</v>
      </c>
      <c r="K66" s="18" t="s">
        <v>366</v>
      </c>
      <c r="L66" s="18" t="s">
        <v>367</v>
      </c>
    </row>
    <row r="67" spans="1:12" ht="34.049999999999997" customHeight="1" x14ac:dyDescent="0.25">
      <c r="A67" s="5"/>
      <c r="B67" s="17" t="s">
        <v>368</v>
      </c>
      <c r="C67" s="18" t="s">
        <v>369</v>
      </c>
      <c r="D67" s="18" t="s">
        <v>45</v>
      </c>
      <c r="E67" s="19">
        <v>46351</v>
      </c>
      <c r="F67" s="19">
        <v>46353</v>
      </c>
      <c r="G67" s="20">
        <f t="shared" si="1"/>
        <v>2</v>
      </c>
      <c r="H67" s="21">
        <v>0</v>
      </c>
      <c r="I67" s="18" t="s">
        <v>370</v>
      </c>
      <c r="J67" s="18" t="s">
        <v>371</v>
      </c>
      <c r="K67" s="18" t="s">
        <v>24</v>
      </c>
      <c r="L67" s="18"/>
    </row>
    <row r="68" spans="1:12" ht="52.95" customHeight="1" x14ac:dyDescent="0.25">
      <c r="A68" s="4"/>
      <c r="B68" s="12" t="s">
        <v>372</v>
      </c>
      <c r="C68" s="13" t="s">
        <v>373</v>
      </c>
      <c r="D68" s="13" t="s">
        <v>374</v>
      </c>
      <c r="E68" s="14">
        <f>MIN(E69:E74)</f>
        <v>46356</v>
      </c>
      <c r="F68" s="14">
        <f>MAX(F69:F74)</f>
        <v>46365</v>
      </c>
      <c r="G68" s="15">
        <f t="shared" si="1"/>
        <v>9</v>
      </c>
      <c r="H68" s="16">
        <f>ROUND(AVERAGE(H69:H74),2)</f>
        <v>0</v>
      </c>
      <c r="I68" s="13" t="s">
        <v>375</v>
      </c>
      <c r="J68" s="13" t="s">
        <v>376</v>
      </c>
      <c r="K68" s="13" t="s">
        <v>24</v>
      </c>
      <c r="L68" s="13" t="s">
        <v>415</v>
      </c>
    </row>
    <row r="69" spans="1:12" ht="34.049999999999997" customHeight="1" x14ac:dyDescent="0.25">
      <c r="A69" s="5"/>
      <c r="B69" s="17" t="s">
        <v>377</v>
      </c>
      <c r="C69" s="18" t="s">
        <v>378</v>
      </c>
      <c r="D69" s="18" t="s">
        <v>379</v>
      </c>
      <c r="E69" s="19">
        <v>46356</v>
      </c>
      <c r="F69" s="19">
        <v>46360</v>
      </c>
      <c r="G69" s="20">
        <f t="shared" ref="G69:G74" si="2">DAYS360(E69,F69)</f>
        <v>4</v>
      </c>
      <c r="H69" s="21">
        <v>0</v>
      </c>
      <c r="I69" s="18" t="s">
        <v>380</v>
      </c>
      <c r="J69" s="18" t="s">
        <v>381</v>
      </c>
      <c r="K69" s="18" t="s">
        <v>24</v>
      </c>
      <c r="L69" s="18" t="s">
        <v>382</v>
      </c>
    </row>
    <row r="70" spans="1:12" ht="34.049999999999997" customHeight="1" x14ac:dyDescent="0.25">
      <c r="A70" s="5"/>
      <c r="B70" s="17" t="s">
        <v>383</v>
      </c>
      <c r="C70" s="18" t="s">
        <v>384</v>
      </c>
      <c r="D70" s="18" t="s">
        <v>379</v>
      </c>
      <c r="E70" s="19">
        <v>46356</v>
      </c>
      <c r="F70" s="19">
        <v>46360</v>
      </c>
      <c r="G70" s="20">
        <f t="shared" si="2"/>
        <v>4</v>
      </c>
      <c r="H70" s="21">
        <v>0</v>
      </c>
      <c r="I70" s="18" t="s">
        <v>385</v>
      </c>
      <c r="J70" s="18" t="s">
        <v>386</v>
      </c>
      <c r="K70" s="18" t="s">
        <v>251</v>
      </c>
      <c r="L70" s="18"/>
    </row>
    <row r="71" spans="1:12" ht="34.049999999999997" customHeight="1" x14ac:dyDescent="0.25">
      <c r="A71" s="5"/>
      <c r="B71" s="17" t="s">
        <v>387</v>
      </c>
      <c r="C71" s="18" t="s">
        <v>388</v>
      </c>
      <c r="D71" s="18" t="s">
        <v>193</v>
      </c>
      <c r="E71" s="19">
        <v>46357</v>
      </c>
      <c r="F71" s="19">
        <v>46360</v>
      </c>
      <c r="G71" s="20">
        <f t="shared" si="2"/>
        <v>3</v>
      </c>
      <c r="H71" s="21">
        <v>0</v>
      </c>
      <c r="I71" s="18" t="s">
        <v>389</v>
      </c>
      <c r="J71" s="18" t="s">
        <v>390</v>
      </c>
      <c r="K71" s="18" t="s">
        <v>195</v>
      </c>
      <c r="L71" s="18" t="s">
        <v>360</v>
      </c>
    </row>
    <row r="72" spans="1:12" ht="46.95" customHeight="1" x14ac:dyDescent="0.25">
      <c r="A72" s="5"/>
      <c r="B72" s="17" t="s">
        <v>391</v>
      </c>
      <c r="C72" s="18" t="s">
        <v>392</v>
      </c>
      <c r="D72" s="18" t="s">
        <v>45</v>
      </c>
      <c r="E72" s="19">
        <v>46357</v>
      </c>
      <c r="F72" s="19">
        <v>46360</v>
      </c>
      <c r="G72" s="20">
        <f t="shared" si="2"/>
        <v>3</v>
      </c>
      <c r="H72" s="21">
        <v>0</v>
      </c>
      <c r="I72" s="18" t="s">
        <v>393</v>
      </c>
      <c r="J72" s="18" t="s">
        <v>394</v>
      </c>
      <c r="K72" s="18" t="s">
        <v>337</v>
      </c>
      <c r="L72" s="18"/>
    </row>
    <row r="73" spans="1:12" ht="46.95" customHeight="1" x14ac:dyDescent="0.25">
      <c r="A73" s="5"/>
      <c r="B73" s="17" t="s">
        <v>395</v>
      </c>
      <c r="C73" s="18" t="s">
        <v>396</v>
      </c>
      <c r="D73" s="18" t="s">
        <v>397</v>
      </c>
      <c r="E73" s="19">
        <v>46357</v>
      </c>
      <c r="F73" s="19">
        <v>46360</v>
      </c>
      <c r="G73" s="20">
        <f t="shared" si="2"/>
        <v>3</v>
      </c>
      <c r="H73" s="21">
        <v>0</v>
      </c>
      <c r="I73" s="18" t="s">
        <v>398</v>
      </c>
      <c r="J73" s="18" t="s">
        <v>399</v>
      </c>
      <c r="K73" s="18" t="s">
        <v>24</v>
      </c>
      <c r="L73" s="18"/>
    </row>
    <row r="74" spans="1:12" ht="34.049999999999997" customHeight="1" x14ac:dyDescent="0.25">
      <c r="A74" s="5"/>
      <c r="B74" s="17" t="s">
        <v>400</v>
      </c>
      <c r="C74" s="18" t="s">
        <v>401</v>
      </c>
      <c r="D74" s="18" t="s">
        <v>402</v>
      </c>
      <c r="E74" s="19">
        <v>46365</v>
      </c>
      <c r="F74" s="19">
        <v>46365</v>
      </c>
      <c r="G74" s="20">
        <f t="shared" si="2"/>
        <v>0</v>
      </c>
      <c r="H74" s="21">
        <v>0</v>
      </c>
      <c r="I74" s="18" t="s">
        <v>403</v>
      </c>
      <c r="J74" s="18" t="s">
        <v>404</v>
      </c>
      <c r="K74" s="18" t="s">
        <v>24</v>
      </c>
      <c r="L74" s="18" t="s">
        <v>416</v>
      </c>
    </row>
    <row r="75" spans="1:12" ht="13.2" customHeight="1" x14ac:dyDescent="0.25"/>
    <row r="76" spans="1:12" ht="30" customHeight="1" x14ac:dyDescent="0.25">
      <c r="B76" s="31" t="s">
        <v>405</v>
      </c>
      <c r="C76" s="23"/>
      <c r="D76" s="10" t="s">
        <v>24</v>
      </c>
      <c r="E76" s="10" t="s">
        <v>406</v>
      </c>
      <c r="F76" s="10" t="s">
        <v>407</v>
      </c>
      <c r="G76" s="10" t="s">
        <v>408</v>
      </c>
      <c r="H76" s="10" t="s">
        <v>15</v>
      </c>
      <c r="I76" s="31" t="s">
        <v>409</v>
      </c>
      <c r="J76" s="25"/>
      <c r="K76" s="25"/>
      <c r="L76" s="23"/>
    </row>
    <row r="77" spans="1:12" ht="40.049999999999997" customHeight="1" x14ac:dyDescent="0.25">
      <c r="B77" s="22" t="s">
        <v>410</v>
      </c>
      <c r="C77" s="23"/>
      <c r="D77" s="15">
        <f>SUMPRODUCT(--(RIGHT($B$5:$B$74,2)&lt;&gt;".0"))</f>
        <v>62</v>
      </c>
      <c r="E77" s="15">
        <f>SUMPRODUCT((RIGHT($B$5:$B$74,2)&lt;&gt;".0")*($H$5:$H$74=1))</f>
        <v>35</v>
      </c>
      <c r="F77" s="15">
        <f>SUMPRODUCT((RIGHT($B$5:$B$74,2)&lt;&gt;".0")*($H$5:$H$74&gt;0)*($H$5:$H$74&lt;1))</f>
        <v>9</v>
      </c>
      <c r="G77" s="15">
        <f>SUMPRODUCT((RIGHT($B$5:$B$74,2)&lt;&gt;".0")*($H$5:$H$74=0))</f>
        <v>18</v>
      </c>
      <c r="H77" s="16">
        <f>ROUND(E77/D77,2)</f>
        <v>0.56000000000000005</v>
      </c>
      <c r="I77" s="24" t="s">
        <v>411</v>
      </c>
      <c r="J77" s="25"/>
      <c r="K77" s="25"/>
      <c r="L77" s="23"/>
    </row>
    <row r="78" spans="1:12" ht="40.049999999999997" customHeight="1" x14ac:dyDescent="0.25">
      <c r="B78" s="22" t="s">
        <v>412</v>
      </c>
      <c r="C78" s="23"/>
      <c r="D78" s="15">
        <f>SUM(E78:G78)</f>
        <v>80</v>
      </c>
      <c r="E78" s="15">
        <v>48</v>
      </c>
      <c r="F78" s="15">
        <v>27</v>
      </c>
      <c r="G78" s="15">
        <v>5</v>
      </c>
      <c r="H78" s="16">
        <f>ROUND(E78/D78,2)</f>
        <v>0.6</v>
      </c>
      <c r="I78" s="24" t="s">
        <v>413</v>
      </c>
      <c r="J78" s="25"/>
      <c r="K78" s="25"/>
      <c r="L78" s="23"/>
    </row>
  </sheetData>
  <mergeCells count="14">
    <mergeCell ref="B1:G1"/>
    <mergeCell ref="I1:L1"/>
    <mergeCell ref="B2:C2"/>
    <mergeCell ref="D2:G2"/>
    <mergeCell ref="J2:L2"/>
    <mergeCell ref="B77:C77"/>
    <mergeCell ref="I77:L77"/>
    <mergeCell ref="B78:C78"/>
    <mergeCell ref="I78:L78"/>
    <mergeCell ref="B3:C3"/>
    <mergeCell ref="D3:G3"/>
    <mergeCell ref="J3:L3"/>
    <mergeCell ref="B76:C76"/>
    <mergeCell ref="I76:L76"/>
  </mergeCells>
  <phoneticPr fontId="11" type="noConversion"/>
  <conditionalFormatting sqref="H5:H74">
    <cfRule type="colorScale" priority="1">
      <colorScale>
        <cfvo type="min"/>
        <cfvo type="max"/>
        <color rgb="FFFFFFFF"/>
        <color rgb="FF3C78D8"/>
      </colorScale>
    </cfRule>
  </conditionalFormatting>
  <conditionalFormatting sqref="H6 H7 H8 H9 H10 H12 H13 H14 H15 H16 H17 H18 H19 H20 H21 H23 H24 H25 H26 H27 H28 H29 H30 H31 H32 H34 H35 H36 H37 H38 H39 H40 H41 H42 H43 H44 H45 H46 H47 H48 H50 H51 H52 H53 H54 H55 H57 H58 H59 H60 H62 H63 H64 H65 H66 H67 H69 H70 H71 H72 H73 H74">
    <cfRule type="colorScale" priority="2">
      <colorScale>
        <cfvo type="min"/>
        <cfvo type="max"/>
        <color rgb="FF57BB8A"/>
        <color rgb="FFFFFFFF"/>
      </colorScale>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갠트 차트 템플릿</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주성 한</cp:lastModifiedBy>
  <dcterms:created xsi:type="dcterms:W3CDTF">2026-09-28T14:05:36Z</dcterms:created>
  <dcterms:modified xsi:type="dcterms:W3CDTF">2026-10-26T09:28:53Z</dcterms:modified>
</cp:coreProperties>
</file>